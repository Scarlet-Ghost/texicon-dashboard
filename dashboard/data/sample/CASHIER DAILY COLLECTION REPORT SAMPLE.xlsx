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nendaluz/Desktop/"/>
    </mc:Choice>
  </mc:AlternateContent>
  <xr:revisionPtr revIDLastSave="0" documentId="13_ncr:1_{691E84E4-0734-A543-9DDA-5C21576640EA}" xr6:coauthVersionLast="47" xr6:coauthVersionMax="47" xr10:uidLastSave="{00000000-0000-0000-0000-000000000000}"/>
  <bookViews>
    <workbookView xWindow="3380" yWindow="2320" windowWidth="23260" windowHeight="13900" xr2:uid="{05AFB10E-A9DF-4771-9069-B2867AD3CC8A}"/>
  </bookViews>
  <sheets>
    <sheet name="TEXICON CR, OR, PR &amp; 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1" i="1" l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K3" i="1"/>
  <c r="H23" i="1" l="1"/>
</calcChain>
</file>

<file path=xl/sharedStrings.xml><?xml version="1.0" encoding="utf-8"?>
<sst xmlns="http://schemas.openxmlformats.org/spreadsheetml/2006/main" count="354" uniqueCount="110">
  <si>
    <t>TEXICON GROUP OF COMPANY</t>
  </si>
  <si>
    <t>COLLECTION MONITORING REPORT</t>
  </si>
  <si>
    <t>DATE COLLECTED</t>
  </si>
  <si>
    <t>CUSTOMER</t>
  </si>
  <si>
    <t>TOTAL</t>
  </si>
  <si>
    <t>DEPOSIT DATE</t>
  </si>
  <si>
    <t>DEPOSITORY BANK</t>
  </si>
  <si>
    <t xml:space="preserve"> TOTAL DEPOSIT </t>
  </si>
  <si>
    <t>TACCP</t>
  </si>
  <si>
    <t>DONSIRE C. JAVA</t>
  </si>
  <si>
    <t>BDO</t>
  </si>
  <si>
    <t>GREEN GEMS FARM SUPPLY CORP.</t>
  </si>
  <si>
    <t>COMPANY</t>
  </si>
  <si>
    <t>CHECK AMOUNT</t>
  </si>
  <si>
    <t>QUEZON FARMERS AGRICULTURAL SUPPLY</t>
  </si>
  <si>
    <t>AGRIKO AGRICHEMICAL TRADING</t>
  </si>
  <si>
    <t>POSTED W/ 2307</t>
  </si>
  <si>
    <t>DIPAWA AGRICULTURAL SUPPLY</t>
  </si>
  <si>
    <t>EWT</t>
  </si>
  <si>
    <t>ELLEN'S AGRIVET SUPPLIES</t>
  </si>
  <si>
    <t>GRACIANA AGRICULTURAL SUPPLY</t>
  </si>
  <si>
    <t>LUBATON MARKETING INCORPORATED</t>
  </si>
  <si>
    <t>IMBAS DISTRIBUTORS CORPORATION</t>
  </si>
  <si>
    <t xml:space="preserve"> </t>
  </si>
  <si>
    <t>LE FIRENZE MARKETING &amp; MANAGEMENT CORPORATION</t>
  </si>
  <si>
    <t>CR#5102</t>
  </si>
  <si>
    <t>CR#5103</t>
  </si>
  <si>
    <t>CR#5104</t>
  </si>
  <si>
    <t>CR#5113</t>
  </si>
  <si>
    <t>CR#5114</t>
  </si>
  <si>
    <t>CR#5117</t>
  </si>
  <si>
    <t>CR#5118</t>
  </si>
  <si>
    <t>CR#5119</t>
  </si>
  <si>
    <t>CR#5122</t>
  </si>
  <si>
    <t>CR#5124</t>
  </si>
  <si>
    <t>CR#5125</t>
  </si>
  <si>
    <t>CR#5127</t>
  </si>
  <si>
    <t>CR#5131</t>
  </si>
  <si>
    <t>CR#5128</t>
  </si>
  <si>
    <t>ABGTRADING CORPORATION</t>
  </si>
  <si>
    <t>GOODHARVEST AGRI MARKETING</t>
  </si>
  <si>
    <t>POSTED W/O 2307</t>
  </si>
  <si>
    <t>TOTSKE AGRICULTURAL SUPPLY</t>
  </si>
  <si>
    <t>FARMIND ASIA BANANA CORPORATION</t>
  </si>
  <si>
    <t>WABE AGRICULTURAL SUPPLY</t>
  </si>
  <si>
    <t>ULYSES O. AGRIVET STORE</t>
  </si>
  <si>
    <t>UBAY AGRIVET SUPPLY</t>
  </si>
  <si>
    <t>DAVAO AGRIWORLD TRADING INC</t>
  </si>
  <si>
    <t>REESE AGRI SUPPLY</t>
  </si>
  <si>
    <t>RHOD AGRICULTURAL AND POULTRY</t>
  </si>
  <si>
    <t>NJ POLON AGRIVET SUPPLY</t>
  </si>
  <si>
    <t>ALTECIA ENTERPRISES</t>
  </si>
  <si>
    <t>CR/PR/OR/TR</t>
  </si>
  <si>
    <t>SI/CI/TDR</t>
  </si>
  <si>
    <t>SAP REFERENCE #</t>
  </si>
  <si>
    <t>REMARKS</t>
  </si>
  <si>
    <t>NOTES</t>
  </si>
  <si>
    <t>NF AGRICULTURAL SUPPLY</t>
  </si>
  <si>
    <t>4E AGRIVET SUPPLY</t>
  </si>
  <si>
    <t>JCF TRADING</t>
  </si>
  <si>
    <t>ALCANTARA'S GENERAL MERCHANDISE</t>
  </si>
  <si>
    <t>RMN AGRO INDUSTRIAL SUPPLY AND GENERAL MERCHANDISE</t>
  </si>
  <si>
    <t>GREEN CROP AGRI SUPPLY</t>
  </si>
  <si>
    <t>NO DVO CR</t>
  </si>
  <si>
    <t>CIDV#5435</t>
  </si>
  <si>
    <t>CIDV#5433</t>
  </si>
  <si>
    <t>CIDV#5411</t>
  </si>
  <si>
    <t>CIDV#5506</t>
  </si>
  <si>
    <t>SIBT-2093</t>
  </si>
  <si>
    <t>SI#5723</t>
  </si>
  <si>
    <t>CIDV#5412</t>
  </si>
  <si>
    <t>FOR THE MONTH OF APRIL  2026</t>
  </si>
  <si>
    <t>CR# 5101</t>
  </si>
  <si>
    <t>CIDV#5422</t>
  </si>
  <si>
    <t>CIDV#5528</t>
  </si>
  <si>
    <t>POSTED W/O 2308</t>
  </si>
  <si>
    <t>CIDV#5485</t>
  </si>
  <si>
    <t>POSTED W/O 2309</t>
  </si>
  <si>
    <t>CIDV#5590</t>
  </si>
  <si>
    <t>POSTED W/O 2310</t>
  </si>
  <si>
    <t>CR#5123</t>
  </si>
  <si>
    <t>CIDV#5543</t>
  </si>
  <si>
    <t>CIDV#5540</t>
  </si>
  <si>
    <t>CR#5126</t>
  </si>
  <si>
    <t>CIDV#5503</t>
  </si>
  <si>
    <t>CI#1128 P76,080 - TABUK SUCBOT FARM SUPPLY / CI#1131 P487,607.14- G.C AlCON AGRICULTURAL SUPPLY / CI#1133 P113,457.86- G.C ALCON AGRICULTURAL SUPPLY /CI#1134 P52,800 LBP LUMBER AND FARM SUPPLY</t>
  </si>
  <si>
    <t>1008392/1008393/</t>
  </si>
  <si>
    <t>SI#5771</t>
  </si>
  <si>
    <t>CIDV#5504</t>
  </si>
  <si>
    <t>CR#5552</t>
  </si>
  <si>
    <t>CIDV#5552</t>
  </si>
  <si>
    <t>CR# 5116</t>
  </si>
  <si>
    <t>CIDV#5052</t>
  </si>
  <si>
    <t xml:space="preserve">partial payment </t>
  </si>
  <si>
    <t>CIBC-7584</t>
  </si>
  <si>
    <t>CIBC-7571</t>
  </si>
  <si>
    <t>CIDV#5631</t>
  </si>
  <si>
    <t>CIBC-7642</t>
  </si>
  <si>
    <t xml:space="preserve">no proof of payment </t>
  </si>
  <si>
    <t>CIBC-7385</t>
  </si>
  <si>
    <t>CIDV#5544</t>
  </si>
  <si>
    <t>CIDV#5545</t>
  </si>
  <si>
    <t>CIBC-7578</t>
  </si>
  <si>
    <t xml:space="preserve">CIBC-7621 P270,000 / CIBC-7662 P96,000 </t>
  </si>
  <si>
    <t>CIIS-1137</t>
  </si>
  <si>
    <t>SIBT-2097 P335,800 / SI#2104 P21,000</t>
  </si>
  <si>
    <t>CIBC-7406</t>
  </si>
  <si>
    <t>CIBC-7545</t>
  </si>
  <si>
    <t>CIDV#5518 P63,800 / CIDV#5525 P16,200</t>
  </si>
  <si>
    <t>CIBC-7498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</si>
</sst>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AFFA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1" xfId="0" applyFont="1" applyBorder="1"/>
    <xf numFmtId="4" fontId="1" fillId="0" borderId="0" xfId="0" applyNumberFormat="1" applyFont="1"/>
    <xf numFmtId="43" fontId="1" fillId="0" borderId="1" xfId="0" applyNumberFormat="1" applyFont="1" applyBorder="1"/>
    <xf numFmtId="4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43" fontId="1" fillId="0" borderId="4" xfId="0" applyNumberFormat="1" applyFont="1" applyBorder="1"/>
    <xf numFmtId="14" fontId="1" fillId="0" borderId="1" xfId="0" applyNumberFormat="1" applyFont="1" applyBorder="1"/>
    <xf numFmtId="4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/>
    <xf numFmtId="0" fontId="1" fillId="0" borderId="3" xfId="0" applyFont="1" applyBorder="1" applyAlignment="1">
      <alignment horizontal="left"/>
    </xf>
    <xf numFmtId="0" fontId="1" fillId="0" borderId="8" xfId="0" applyFont="1" applyBorder="1"/>
    <xf numFmtId="0" fontId="1" fillId="0" borderId="3" xfId="0" applyFont="1" applyBorder="1"/>
    <xf numFmtId="43" fontId="1" fillId="3" borderId="1" xfId="0" applyNumberFormat="1" applyFont="1" applyFill="1" applyBorder="1" applyAlignment="1">
      <alignment horizontal="left"/>
    </xf>
    <xf numFmtId="43" fontId="1" fillId="0" borderId="5" xfId="0" applyNumberFormat="1" applyFont="1" applyBorder="1"/>
    <xf numFmtId="0" fontId="2" fillId="5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43" fontId="2" fillId="5" borderId="1" xfId="0" applyNumberFormat="1" applyFont="1" applyFill="1" applyBorder="1" applyAlignment="1">
      <alignment horizontal="center"/>
    </xf>
    <xf numFmtId="43" fontId="2" fillId="5" borderId="9" xfId="0" applyNumberFormat="1" applyFont="1" applyFill="1" applyBorder="1" applyAlignment="1">
      <alignment horizontal="center"/>
    </xf>
    <xf numFmtId="0" fontId="1" fillId="0" borderId="13" xfId="0" applyFont="1" applyBorder="1"/>
    <xf numFmtId="0" fontId="1" fillId="0" borderId="9" xfId="0" applyFont="1" applyBorder="1" applyAlignment="1">
      <alignment horizontal="center"/>
    </xf>
    <xf numFmtId="43" fontId="2" fillId="5" borderId="3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3" fontId="1" fillId="0" borderId="9" xfId="0" applyNumberFormat="1" applyFont="1" applyBorder="1"/>
    <xf numFmtId="43" fontId="1" fillId="0" borderId="7" xfId="0" applyNumberFormat="1" applyFont="1" applyBorder="1"/>
    <xf numFmtId="0" fontId="2" fillId="5" borderId="3" xfId="0" applyFont="1" applyFill="1" applyBorder="1" applyAlignment="1">
      <alignment horizontal="center"/>
    </xf>
    <xf numFmtId="14" fontId="2" fillId="5" borderId="9" xfId="0" applyNumberFormat="1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4" fontId="2" fillId="5" borderId="9" xfId="0" applyNumberFormat="1" applyFont="1" applyFill="1" applyBorder="1" applyAlignment="1">
      <alignment horizontal="center"/>
    </xf>
    <xf numFmtId="0" fontId="3" fillId="4" borderId="6" xfId="0" applyFont="1" applyFill="1" applyBorder="1"/>
    <xf numFmtId="0" fontId="4" fillId="0" borderId="15" xfId="0" applyFont="1" applyBorder="1"/>
    <xf numFmtId="4" fontId="5" fillId="0" borderId="3" xfId="0" applyNumberFormat="1" applyFont="1" applyBorder="1"/>
    <xf numFmtId="0" fontId="5" fillId="0" borderId="3" xfId="0" applyFont="1" applyBorder="1"/>
    <xf numFmtId="0" fontId="4" fillId="0" borderId="14" xfId="0" applyFont="1" applyBorder="1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6" fillId="0" borderId="1" xfId="0" applyFont="1" applyBorder="1"/>
    <xf numFmtId="0" fontId="6" fillId="0" borderId="14" xfId="0" applyFont="1" applyBorder="1"/>
    <xf numFmtId="0" fontId="0" fillId="0" borderId="15" xfId="0" applyBorder="1"/>
    <xf numFmtId="14" fontId="0" fillId="0" borderId="1" xfId="0" applyNumberFormat="1" applyBorder="1"/>
    <xf numFmtId="4" fontId="5" fillId="0" borderId="9" xfId="0" applyNumberFormat="1" applyFont="1" applyBorder="1"/>
    <xf numFmtId="0" fontId="3" fillId="4" borderId="8" xfId="0" applyFont="1" applyFill="1" applyBorder="1"/>
    <xf numFmtId="0" fontId="6" fillId="0" borderId="17" xfId="0" applyFont="1" applyBorder="1"/>
    <xf numFmtId="0" fontId="0" fillId="0" borderId="17" xfId="0" applyBorder="1"/>
    <xf numFmtId="4" fontId="5" fillId="0" borderId="11" xfId="0" applyNumberFormat="1" applyFont="1" applyBorder="1"/>
    <xf numFmtId="43" fontId="0" fillId="0" borderId="1" xfId="0" applyNumberFormat="1" applyBorder="1" applyAlignment="1">
      <alignment horizontal="left"/>
    </xf>
    <xf numFmtId="4" fontId="5" fillId="0" borderId="13" xfId="0" applyNumberFormat="1" applyFont="1" applyBorder="1"/>
    <xf numFmtId="43" fontId="6" fillId="0" borderId="1" xfId="0" applyNumberFormat="1" applyFont="1" applyBorder="1" applyAlignment="1">
      <alignment horizontal="left"/>
    </xf>
    <xf numFmtId="0" fontId="7" fillId="0" borderId="17" xfId="0" applyFont="1" applyBorder="1"/>
    <xf numFmtId="0" fontId="7" fillId="0" borderId="16" xfId="0" applyFont="1" applyBorder="1"/>
    <xf numFmtId="0" fontId="0" fillId="0" borderId="14" xfId="0" applyBorder="1"/>
    <xf numFmtId="4" fontId="5" fillId="0" borderId="12" xfId="0" applyNumberFormat="1" applyFont="1" applyBorder="1"/>
    <xf numFmtId="43" fontId="0" fillId="0" borderId="1" xfId="0" applyNumberFormat="1" applyBorder="1"/>
    <xf numFmtId="14" fontId="0" fillId="2" borderId="1" xfId="0" applyNumberFormat="1" applyFill="1" applyBorder="1"/>
    <xf numFmtId="0" fontId="6" fillId="0" borderId="18" xfId="0" applyFont="1" applyBorder="1"/>
    <xf numFmtId="0" fontId="0" fillId="0" borderId="19" xfId="0" applyBorder="1"/>
    <xf numFmtId="4" fontId="5" fillId="0" borderId="6" xfId="0" applyNumberFormat="1" applyFont="1" applyBorder="1"/>
    <xf numFmtId="14" fontId="0" fillId="0" borderId="9" xfId="0" applyNumberFormat="1" applyBorder="1"/>
    <xf numFmtId="0" fontId="0" fillId="0" borderId="16" xfId="0" applyBorder="1"/>
    <xf numFmtId="43" fontId="6" fillId="0" borderId="9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horizontal="left"/>
    </xf>
    <xf numFmtId="4" fontId="5" fillId="0" borderId="13" xfId="0" applyNumberFormat="1" applyFont="1" applyBorder="1" applyAlignment="1">
      <alignment horizontal="right"/>
    </xf>
    <xf numFmtId="0" fontId="0" fillId="0" borderId="18" xfId="0" applyBorder="1"/>
    <xf numFmtId="0" fontId="3" fillId="4" borderId="4" xfId="0" applyFont="1" applyFill="1" applyBorder="1"/>
    <xf numFmtId="4" fontId="5" fillId="0" borderId="6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43" fontId="0" fillId="0" borderId="4" xfId="0" applyNumberFormat="1" applyBorder="1"/>
    <xf numFmtId="43" fontId="0" fillId="0" borderId="6" xfId="0" applyNumberFormat="1" applyBorder="1"/>
    <xf numFmtId="0" fontId="6" fillId="0" borderId="10" xfId="0" applyFont="1" applyBorder="1"/>
    <xf numFmtId="0" fontId="0" fillId="0" borderId="10" xfId="0" applyBorder="1"/>
    <xf numFmtId="43" fontId="0" fillId="0" borderId="5" xfId="0" applyNumberFormat="1" applyBorder="1"/>
    <xf numFmtId="43" fontId="0" fillId="0" borderId="7" xfId="0" applyNumberFormat="1" applyBorder="1"/>
    <xf numFmtId="14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09B0-DD31-4E38-9D3A-8AB3657A180B}">
  <sheetPr>
    <tabColor rgb="FF45ED45"/>
  </sheetPr>
  <dimension ref="A1:W1037987"/>
  <sheetViews>
    <sheetView tabSelected="1" zoomScale="70" zoomScaleNormal="70" workbookViewId="0">
      <selection activeCell="D19" sqref="D19"/>
    </sheetView>
  </sheetViews>
  <sheetFormatPr baseColWidth="10" defaultColWidth="14.5" defaultRowHeight="15" customHeight="1" x14ac:dyDescent="0.2"/>
  <cols>
    <col min="1" max="1" width="8.6640625" style="1" customWidth="1"/>
    <col min="2" max="2" width="10.6640625" style="1" customWidth="1"/>
    <col min="3" max="3" width="18.5" style="2" customWidth="1"/>
    <col min="4" max="4" width="65.6640625" style="1" customWidth="1"/>
    <col min="5" max="5" width="49.83203125" style="1" customWidth="1"/>
    <col min="6" max="6" width="19.1640625" style="1" customWidth="1"/>
    <col min="7" max="7" width="11.5" style="4" customWidth="1"/>
    <col min="8" max="8" width="15" style="5" customWidth="1"/>
    <col min="9" max="9" width="10.83203125" style="1" customWidth="1"/>
    <col min="10" max="10" width="11.6640625" style="6" customWidth="1"/>
    <col min="11" max="11" width="17.83203125" style="5" customWidth="1"/>
    <col min="12" max="12" width="22.5" style="6" customWidth="1"/>
    <col min="13" max="13" width="46.33203125" style="1" customWidth="1"/>
    <col min="14" max="14" width="66.33203125" style="1" bestFit="1" customWidth="1"/>
    <col min="15" max="15" width="21.33203125" style="1" customWidth="1"/>
    <col min="16" max="16" width="11.5" style="1" customWidth="1"/>
    <col min="17" max="23" width="8.6640625" style="1" customWidth="1"/>
    <col min="24" max="16384" width="14.5" style="1"/>
  </cols>
  <sheetData>
    <row r="1" spans="1:14" ht="15" customHeight="1" x14ac:dyDescent="0.2">
      <c r="A1" s="1" t="s">
        <v>0</v>
      </c>
      <c r="C1" s="1"/>
      <c r="G1" s="5"/>
      <c r="I1" s="5"/>
      <c r="M1" s="7"/>
    </row>
    <row r="2" spans="1:14" ht="15" customHeight="1" x14ac:dyDescent="0.2">
      <c r="A2" s="1" t="s">
        <v>1</v>
      </c>
      <c r="C2" s="1"/>
      <c r="G2" s="5"/>
      <c r="I2" s="5"/>
      <c r="M2" s="7"/>
    </row>
    <row r="3" spans="1:14" ht="15" customHeight="1" x14ac:dyDescent="0.2">
      <c r="A3" s="1" t="s">
        <v>71</v>
      </c>
      <c r="C3" s="1"/>
      <c r="G3" s="5"/>
      <c r="I3" s="5"/>
      <c r="K3" s="5">
        <f>F3</f>
        <v>0</v>
      </c>
      <c r="M3" s="7"/>
    </row>
    <row r="4" spans="1:14" ht="15" customHeight="1" x14ac:dyDescent="0.2">
      <c r="A4" s="32" t="s">
        <v>12</v>
      </c>
      <c r="B4" s="33" t="s">
        <v>2</v>
      </c>
      <c r="C4" s="21" t="s">
        <v>52</v>
      </c>
      <c r="D4" s="34" t="s">
        <v>53</v>
      </c>
      <c r="E4" s="22" t="s">
        <v>3</v>
      </c>
      <c r="F4" s="35" t="s">
        <v>13</v>
      </c>
      <c r="G4" s="24" t="s">
        <v>18</v>
      </c>
      <c r="H4" s="27" t="s">
        <v>4</v>
      </c>
      <c r="I4" s="28" t="s">
        <v>5</v>
      </c>
      <c r="J4" s="29" t="s">
        <v>6</v>
      </c>
      <c r="K4" s="23" t="s">
        <v>7</v>
      </c>
      <c r="L4" s="20" t="s">
        <v>54</v>
      </c>
      <c r="M4" s="20" t="s">
        <v>55</v>
      </c>
      <c r="N4" s="20" t="s">
        <v>56</v>
      </c>
    </row>
    <row r="5" spans="1:14" ht="15" customHeight="1" x14ac:dyDescent="0.2">
      <c r="A5" s="17" t="s">
        <v>8</v>
      </c>
      <c r="B5" s="50">
        <v>46118</v>
      </c>
      <c r="C5" s="16"/>
      <c r="D5" s="43" t="s">
        <v>68</v>
      </c>
      <c r="E5" s="44" t="s">
        <v>61</v>
      </c>
      <c r="F5" s="51">
        <v>10000</v>
      </c>
      <c r="G5" s="19"/>
      <c r="H5" s="4">
        <f t="shared" ref="H5:H22" si="0">SUM(F5:G5)</f>
        <v>10000</v>
      </c>
      <c r="I5" s="11">
        <f t="shared" ref="I5:I58" si="1">B5</f>
        <v>46118</v>
      </c>
      <c r="J5" s="26" t="s">
        <v>10</v>
      </c>
      <c r="K5" s="4"/>
      <c r="L5" s="8">
        <v>1008382</v>
      </c>
      <c r="M5" s="15"/>
      <c r="N5" s="2"/>
    </row>
    <row r="6" spans="1:14" ht="15" customHeight="1" x14ac:dyDescent="0.2">
      <c r="A6" s="17" t="s">
        <v>8</v>
      </c>
      <c r="B6" s="50">
        <v>46118</v>
      </c>
      <c r="C6" s="52" t="s">
        <v>72</v>
      </c>
      <c r="D6" s="53" t="s">
        <v>64</v>
      </c>
      <c r="E6" s="54" t="s">
        <v>51</v>
      </c>
      <c r="F6" s="55">
        <v>105000</v>
      </c>
      <c r="G6" s="56"/>
      <c r="H6" s="4">
        <f t="shared" si="0"/>
        <v>105000</v>
      </c>
      <c r="I6" s="11">
        <f t="shared" si="1"/>
        <v>46118</v>
      </c>
      <c r="J6" s="26" t="s">
        <v>10</v>
      </c>
      <c r="K6" s="4"/>
      <c r="L6" s="8">
        <v>1008383</v>
      </c>
      <c r="M6" s="15"/>
      <c r="N6" s="2"/>
    </row>
    <row r="7" spans="1:14" ht="15" customHeight="1" x14ac:dyDescent="0.2">
      <c r="A7" s="17" t="s">
        <v>8</v>
      </c>
      <c r="B7" s="50">
        <v>46118</v>
      </c>
      <c r="C7" s="36" t="s">
        <v>30</v>
      </c>
      <c r="D7" s="48" t="s">
        <v>73</v>
      </c>
      <c r="E7" s="49" t="s">
        <v>22</v>
      </c>
      <c r="F7" s="38">
        <v>416250</v>
      </c>
      <c r="G7" s="12">
        <v>3750</v>
      </c>
      <c r="H7" s="10">
        <f t="shared" si="0"/>
        <v>420000</v>
      </c>
      <c r="I7" s="11">
        <f t="shared" si="1"/>
        <v>46118</v>
      </c>
      <c r="J7" s="26" t="s">
        <v>10</v>
      </c>
      <c r="K7" s="4"/>
      <c r="L7" s="8">
        <v>1008384</v>
      </c>
      <c r="M7" s="13" t="s">
        <v>41</v>
      </c>
      <c r="N7" s="14"/>
    </row>
    <row r="8" spans="1:14" ht="15" customHeight="1" x14ac:dyDescent="0.2">
      <c r="A8" s="17" t="s">
        <v>8</v>
      </c>
      <c r="B8" s="50">
        <v>46118</v>
      </c>
      <c r="C8" s="36" t="s">
        <v>31</v>
      </c>
      <c r="D8" s="48" t="s">
        <v>74</v>
      </c>
      <c r="E8" s="49" t="s">
        <v>11</v>
      </c>
      <c r="F8" s="38">
        <v>832500</v>
      </c>
      <c r="G8" s="12">
        <v>7500</v>
      </c>
      <c r="H8" s="10">
        <f t="shared" si="0"/>
        <v>840000</v>
      </c>
      <c r="I8" s="11">
        <f t="shared" si="1"/>
        <v>46118</v>
      </c>
      <c r="J8" s="26" t="s">
        <v>10</v>
      </c>
      <c r="K8" s="4"/>
      <c r="L8" s="8">
        <v>1008385</v>
      </c>
      <c r="M8" s="13" t="s">
        <v>75</v>
      </c>
      <c r="N8" s="2"/>
    </row>
    <row r="9" spans="1:14" ht="15" customHeight="1" x14ac:dyDescent="0.2">
      <c r="A9" s="17" t="s">
        <v>8</v>
      </c>
      <c r="B9" s="50">
        <v>46118</v>
      </c>
      <c r="C9" s="36" t="s">
        <v>32</v>
      </c>
      <c r="D9" s="45" t="s">
        <v>76</v>
      </c>
      <c r="E9" s="46" t="s">
        <v>21</v>
      </c>
      <c r="F9" s="57">
        <v>416250</v>
      </c>
      <c r="G9" s="12">
        <v>3750</v>
      </c>
      <c r="H9" s="10">
        <f t="shared" si="0"/>
        <v>420000</v>
      </c>
      <c r="I9" s="11">
        <f t="shared" si="1"/>
        <v>46118</v>
      </c>
      <c r="J9" s="26" t="s">
        <v>10</v>
      </c>
      <c r="K9" s="4"/>
      <c r="L9" s="8">
        <v>1008386</v>
      </c>
      <c r="M9" s="13" t="s">
        <v>77</v>
      </c>
      <c r="N9" s="2"/>
    </row>
    <row r="10" spans="1:14" ht="15" customHeight="1" x14ac:dyDescent="0.2">
      <c r="A10" s="17" t="s">
        <v>8</v>
      </c>
      <c r="B10" s="50">
        <v>46118</v>
      </c>
      <c r="C10" s="36" t="s">
        <v>33</v>
      </c>
      <c r="D10" s="45" t="s">
        <v>78</v>
      </c>
      <c r="E10" s="46" t="s">
        <v>15</v>
      </c>
      <c r="F10" s="38">
        <v>489985.71</v>
      </c>
      <c r="G10" s="56">
        <v>4414.29</v>
      </c>
      <c r="H10" s="10">
        <f t="shared" si="0"/>
        <v>494400</v>
      </c>
      <c r="I10" s="11">
        <f t="shared" si="1"/>
        <v>46118</v>
      </c>
      <c r="J10" s="26" t="s">
        <v>10</v>
      </c>
      <c r="K10" s="4"/>
      <c r="L10" s="8">
        <v>1008387</v>
      </c>
      <c r="M10" s="13" t="s">
        <v>79</v>
      </c>
      <c r="N10" s="2"/>
    </row>
    <row r="11" spans="1:14" ht="15" customHeight="1" x14ac:dyDescent="0.2">
      <c r="A11" s="17" t="s">
        <v>8</v>
      </c>
      <c r="B11" s="50">
        <v>46118</v>
      </c>
      <c r="C11" s="36" t="s">
        <v>80</v>
      </c>
      <c r="D11" s="45" t="s">
        <v>81</v>
      </c>
      <c r="E11" s="46" t="s">
        <v>40</v>
      </c>
      <c r="F11" s="38">
        <v>110540</v>
      </c>
      <c r="G11" s="58"/>
      <c r="H11" s="10">
        <f t="shared" si="0"/>
        <v>110540</v>
      </c>
      <c r="I11" s="11">
        <f t="shared" si="1"/>
        <v>46118</v>
      </c>
      <c r="J11" s="26" t="s">
        <v>10</v>
      </c>
      <c r="K11" s="4"/>
      <c r="L11" s="8">
        <v>1008388</v>
      </c>
      <c r="M11" s="13"/>
      <c r="N11" s="2"/>
    </row>
    <row r="12" spans="1:14" ht="15" customHeight="1" x14ac:dyDescent="0.2">
      <c r="A12" s="17" t="s">
        <v>8</v>
      </c>
      <c r="B12" s="50">
        <v>46118</v>
      </c>
      <c r="C12" s="36" t="s">
        <v>34</v>
      </c>
      <c r="D12" s="41" t="s">
        <v>82</v>
      </c>
      <c r="E12" s="42" t="s">
        <v>40</v>
      </c>
      <c r="F12" s="38">
        <v>27180</v>
      </c>
      <c r="G12" s="58"/>
      <c r="H12" s="10">
        <f t="shared" si="0"/>
        <v>27180</v>
      </c>
      <c r="I12" s="11">
        <f t="shared" si="1"/>
        <v>46118</v>
      </c>
      <c r="J12" s="26" t="s">
        <v>10</v>
      </c>
      <c r="K12" s="4"/>
      <c r="L12" s="8">
        <v>1008389</v>
      </c>
      <c r="M12" s="13"/>
      <c r="N12" s="2"/>
    </row>
    <row r="13" spans="1:14" ht="15" customHeight="1" x14ac:dyDescent="0.2">
      <c r="A13" s="17" t="s">
        <v>8</v>
      </c>
      <c r="B13" s="50">
        <v>46118</v>
      </c>
      <c r="C13" s="36" t="s">
        <v>35</v>
      </c>
      <c r="D13" s="43" t="s">
        <v>81</v>
      </c>
      <c r="E13" s="44" t="s">
        <v>40</v>
      </c>
      <c r="F13" s="38">
        <v>110540</v>
      </c>
      <c r="G13" s="58"/>
      <c r="H13" s="10">
        <f t="shared" si="0"/>
        <v>110540</v>
      </c>
      <c r="I13" s="11">
        <f t="shared" si="1"/>
        <v>46118</v>
      </c>
      <c r="J13" s="26" t="s">
        <v>10</v>
      </c>
      <c r="K13" s="4"/>
      <c r="L13" s="8">
        <v>1008390</v>
      </c>
      <c r="M13" s="13"/>
      <c r="N13" s="2"/>
    </row>
    <row r="14" spans="1:14" ht="15" customHeight="1" x14ac:dyDescent="0.2">
      <c r="A14" s="17" t="s">
        <v>8</v>
      </c>
      <c r="B14" s="50">
        <v>46118</v>
      </c>
      <c r="C14" s="36" t="s">
        <v>83</v>
      </c>
      <c r="D14" s="59" t="s">
        <v>84</v>
      </c>
      <c r="E14" s="60" t="s">
        <v>40</v>
      </c>
      <c r="F14" s="38">
        <v>47040</v>
      </c>
      <c r="G14" s="58"/>
      <c r="H14" s="10">
        <f t="shared" si="0"/>
        <v>47040</v>
      </c>
      <c r="I14" s="11">
        <f t="shared" si="1"/>
        <v>46118</v>
      </c>
      <c r="J14" s="26" t="s">
        <v>10</v>
      </c>
      <c r="K14" s="4"/>
      <c r="L14" s="8">
        <v>1008391</v>
      </c>
      <c r="M14" s="13"/>
      <c r="N14" s="2"/>
    </row>
    <row r="15" spans="1:14" ht="15" customHeight="1" x14ac:dyDescent="0.2">
      <c r="A15" s="17" t="s">
        <v>8</v>
      </c>
      <c r="B15" s="50">
        <v>46118</v>
      </c>
      <c r="C15" s="9"/>
      <c r="D15" s="41" t="s">
        <v>85</v>
      </c>
      <c r="E15" s="39"/>
      <c r="F15" s="38">
        <v>729945</v>
      </c>
      <c r="G15" s="56"/>
      <c r="H15" s="10">
        <f t="shared" si="0"/>
        <v>729945</v>
      </c>
      <c r="I15" s="11">
        <f t="shared" si="1"/>
        <v>46118</v>
      </c>
      <c r="J15" s="26" t="s">
        <v>10</v>
      </c>
      <c r="K15" s="4"/>
      <c r="L15" s="8" t="s">
        <v>86</v>
      </c>
      <c r="M15" s="13"/>
      <c r="N15" s="2"/>
    </row>
    <row r="16" spans="1:14" ht="15" customHeight="1" x14ac:dyDescent="0.2">
      <c r="A16" s="17" t="s">
        <v>8</v>
      </c>
      <c r="B16" s="50">
        <v>46118</v>
      </c>
      <c r="C16" s="36" t="s">
        <v>36</v>
      </c>
      <c r="D16" s="61" t="s">
        <v>87</v>
      </c>
      <c r="E16" s="49" t="s">
        <v>9</v>
      </c>
      <c r="F16" s="62">
        <v>120000</v>
      </c>
      <c r="G16" s="56"/>
      <c r="H16" s="10">
        <f t="shared" si="0"/>
        <v>120000</v>
      </c>
      <c r="I16" s="11">
        <f t="shared" si="1"/>
        <v>46118</v>
      </c>
      <c r="J16" s="26" t="s">
        <v>10</v>
      </c>
      <c r="K16" s="4"/>
      <c r="L16" s="8"/>
      <c r="M16" s="13"/>
      <c r="N16" s="2"/>
    </row>
    <row r="17" spans="1:14" ht="15" customHeight="1" x14ac:dyDescent="0.2">
      <c r="A17" s="17" t="s">
        <v>8</v>
      </c>
      <c r="B17" s="50">
        <v>46118</v>
      </c>
      <c r="C17" s="36" t="s">
        <v>38</v>
      </c>
      <c r="D17" s="61" t="s">
        <v>69</v>
      </c>
      <c r="E17" s="49" t="s">
        <v>9</v>
      </c>
      <c r="F17" s="38">
        <v>1000</v>
      </c>
      <c r="G17" s="63"/>
      <c r="H17" s="10">
        <f t="shared" si="0"/>
        <v>1000</v>
      </c>
      <c r="I17" s="11">
        <f t="shared" si="1"/>
        <v>46118</v>
      </c>
      <c r="J17" s="26" t="s">
        <v>10</v>
      </c>
      <c r="K17" s="4"/>
      <c r="L17" s="8"/>
      <c r="M17" s="13"/>
      <c r="N17" s="2"/>
    </row>
    <row r="18" spans="1:14" ht="15" customHeight="1" x14ac:dyDescent="0.2">
      <c r="A18" s="17" t="s">
        <v>8</v>
      </c>
      <c r="B18" s="64">
        <v>46119</v>
      </c>
      <c r="C18" s="9"/>
      <c r="D18" s="47" t="s">
        <v>68</v>
      </c>
      <c r="E18" s="42" t="s">
        <v>61</v>
      </c>
      <c r="F18" s="38">
        <v>10000</v>
      </c>
      <c r="G18" s="58"/>
      <c r="H18" s="10">
        <f t="shared" si="0"/>
        <v>10000</v>
      </c>
      <c r="I18" s="11">
        <f t="shared" si="1"/>
        <v>46119</v>
      </c>
      <c r="J18" s="26" t="s">
        <v>10</v>
      </c>
      <c r="K18" s="4"/>
      <c r="L18" s="8"/>
      <c r="M18" s="13"/>
      <c r="N18" s="2"/>
    </row>
    <row r="19" spans="1:14" ht="15" customHeight="1" x14ac:dyDescent="0.2">
      <c r="A19" s="17" t="s">
        <v>8</v>
      </c>
      <c r="B19" s="50">
        <v>46119</v>
      </c>
      <c r="C19" s="36" t="s">
        <v>27</v>
      </c>
      <c r="D19" s="65" t="s">
        <v>67</v>
      </c>
      <c r="E19" s="66" t="s">
        <v>50</v>
      </c>
      <c r="F19" s="38">
        <v>140000</v>
      </c>
      <c r="G19" s="58"/>
      <c r="H19" s="10">
        <f t="shared" si="0"/>
        <v>140000</v>
      </c>
      <c r="I19" s="11">
        <f t="shared" si="1"/>
        <v>46119</v>
      </c>
      <c r="J19" s="26" t="s">
        <v>10</v>
      </c>
      <c r="K19" s="4"/>
      <c r="L19" s="8"/>
      <c r="M19" s="13"/>
      <c r="N19" s="2"/>
    </row>
    <row r="20" spans="1:14" ht="15" customHeight="1" x14ac:dyDescent="0.2">
      <c r="A20" s="17" t="s">
        <v>8</v>
      </c>
      <c r="B20" s="50">
        <v>46119</v>
      </c>
      <c r="C20" s="36" t="s">
        <v>26</v>
      </c>
      <c r="D20" s="41" t="s">
        <v>88</v>
      </c>
      <c r="E20" s="41" t="s">
        <v>42</v>
      </c>
      <c r="F20" s="67">
        <v>314940</v>
      </c>
      <c r="G20" s="58"/>
      <c r="H20" s="10">
        <f t="shared" si="0"/>
        <v>314940</v>
      </c>
      <c r="I20" s="11">
        <f t="shared" si="1"/>
        <v>46119</v>
      </c>
      <c r="J20" s="26" t="s">
        <v>10</v>
      </c>
      <c r="K20" s="4"/>
      <c r="L20" s="8"/>
      <c r="M20" s="13"/>
      <c r="N20" s="2"/>
    </row>
    <row r="21" spans="1:14" ht="15" customHeight="1" x14ac:dyDescent="0.2">
      <c r="A21" s="17" t="s">
        <v>8</v>
      </c>
      <c r="B21" s="68">
        <v>46119</v>
      </c>
      <c r="C21" s="36" t="s">
        <v>25</v>
      </c>
      <c r="D21" s="53" t="s">
        <v>65</v>
      </c>
      <c r="E21" s="69" t="s">
        <v>58</v>
      </c>
      <c r="F21" s="38">
        <v>142000</v>
      </c>
      <c r="G21" s="70"/>
      <c r="H21" s="10">
        <f t="shared" si="0"/>
        <v>142000</v>
      </c>
      <c r="I21" s="11">
        <f t="shared" si="1"/>
        <v>46119</v>
      </c>
      <c r="J21" s="26" t="s">
        <v>10</v>
      </c>
      <c r="K21" s="4"/>
      <c r="L21" s="8"/>
      <c r="M21" s="13"/>
      <c r="N21" s="2"/>
    </row>
    <row r="22" spans="1:14" ht="15" customHeight="1" x14ac:dyDescent="0.2">
      <c r="A22" s="17" t="s">
        <v>8</v>
      </c>
      <c r="B22" s="64">
        <v>46120</v>
      </c>
      <c r="C22" s="36" t="s">
        <v>89</v>
      </c>
      <c r="D22" s="48" t="s">
        <v>90</v>
      </c>
      <c r="E22" s="61" t="s">
        <v>39</v>
      </c>
      <c r="F22" s="71">
        <v>15857.14</v>
      </c>
      <c r="G22" s="18">
        <v>142.86000000000001</v>
      </c>
      <c r="H22" s="10">
        <f t="shared" si="0"/>
        <v>16000</v>
      </c>
      <c r="I22" s="11">
        <f t="shared" si="1"/>
        <v>46120</v>
      </c>
      <c r="J22" s="26" t="s">
        <v>10</v>
      </c>
      <c r="K22" s="4"/>
      <c r="L22" s="8"/>
      <c r="M22" s="13" t="s">
        <v>16</v>
      </c>
      <c r="N22" s="2"/>
    </row>
    <row r="23" spans="1:14" ht="15" customHeight="1" x14ac:dyDescent="0.2">
      <c r="A23" s="17" t="s">
        <v>8</v>
      </c>
      <c r="B23" s="50">
        <v>46120</v>
      </c>
      <c r="C23" s="36" t="s">
        <v>91</v>
      </c>
      <c r="D23" s="72" t="s">
        <v>92</v>
      </c>
      <c r="E23" s="73" t="s">
        <v>57</v>
      </c>
      <c r="F23" s="74">
        <v>500000</v>
      </c>
      <c r="H23" s="10">
        <f ca="1">SUM(F23:N23)</f>
        <v>500000</v>
      </c>
      <c r="I23" s="11">
        <f t="shared" si="1"/>
        <v>46120</v>
      </c>
      <c r="J23" s="26" t="s">
        <v>10</v>
      </c>
      <c r="K23" s="4"/>
      <c r="L23" s="8"/>
      <c r="M23" s="13"/>
      <c r="N23" s="2" t="s">
        <v>93</v>
      </c>
    </row>
    <row r="24" spans="1:14" ht="15" customHeight="1" x14ac:dyDescent="0.2">
      <c r="A24" s="17" t="s">
        <v>8</v>
      </c>
      <c r="B24" s="50">
        <v>46120</v>
      </c>
      <c r="C24" s="9"/>
      <c r="D24" s="41" t="s">
        <v>94</v>
      </c>
      <c r="E24" s="42" t="s">
        <v>59</v>
      </c>
      <c r="F24" s="71">
        <v>38760</v>
      </c>
      <c r="G24" s="2"/>
      <c r="H24" s="10">
        <f t="shared" ref="H24:H87" si="2">SUM(F24:G24)</f>
        <v>38760</v>
      </c>
      <c r="I24" s="11">
        <f t="shared" si="1"/>
        <v>46120</v>
      </c>
      <c r="J24" s="26" t="s">
        <v>10</v>
      </c>
      <c r="K24" s="4"/>
      <c r="L24" s="8"/>
      <c r="M24" s="13"/>
      <c r="N24" s="2"/>
    </row>
    <row r="25" spans="1:14" ht="15" customHeight="1" x14ac:dyDescent="0.2">
      <c r="A25" s="17" t="s">
        <v>8</v>
      </c>
      <c r="B25" s="50">
        <v>46120</v>
      </c>
      <c r="C25" s="9"/>
      <c r="D25" s="75" t="s">
        <v>95</v>
      </c>
      <c r="E25" s="66" t="s">
        <v>60</v>
      </c>
      <c r="F25" s="74">
        <v>13200</v>
      </c>
      <c r="G25" s="2"/>
      <c r="H25" s="10">
        <f t="shared" si="2"/>
        <v>13200</v>
      </c>
      <c r="I25" s="11">
        <f t="shared" si="1"/>
        <v>46120</v>
      </c>
      <c r="J25" s="26" t="s">
        <v>10</v>
      </c>
      <c r="K25" s="4"/>
      <c r="L25" s="8"/>
      <c r="M25" s="13"/>
      <c r="N25" s="2"/>
    </row>
    <row r="26" spans="1:14" ht="15" customHeight="1" x14ac:dyDescent="0.2">
      <c r="A26" s="17" t="s">
        <v>8</v>
      </c>
      <c r="B26" s="50">
        <v>46120</v>
      </c>
      <c r="C26" s="36" t="s">
        <v>63</v>
      </c>
      <c r="D26" s="41" t="s">
        <v>96</v>
      </c>
      <c r="E26" s="42" t="s">
        <v>43</v>
      </c>
      <c r="F26" s="71">
        <v>130680</v>
      </c>
      <c r="G26" s="2"/>
      <c r="H26" s="10">
        <f t="shared" si="2"/>
        <v>130680</v>
      </c>
      <c r="I26" s="11">
        <f t="shared" si="1"/>
        <v>46120</v>
      </c>
      <c r="J26" s="26" t="s">
        <v>10</v>
      </c>
      <c r="K26" s="4"/>
      <c r="L26" s="8"/>
      <c r="M26" s="13"/>
      <c r="N26" s="2"/>
    </row>
    <row r="27" spans="1:14" ht="15" customHeight="1" x14ac:dyDescent="0.2">
      <c r="A27" s="17" t="s">
        <v>8</v>
      </c>
      <c r="B27" s="50">
        <v>46120</v>
      </c>
      <c r="C27" s="9"/>
      <c r="D27" s="61" t="s">
        <v>97</v>
      </c>
      <c r="E27" s="61" t="s">
        <v>44</v>
      </c>
      <c r="F27" s="71">
        <v>16200</v>
      </c>
      <c r="G27" s="2"/>
      <c r="H27" s="10">
        <f t="shared" si="2"/>
        <v>16200</v>
      </c>
      <c r="I27" s="11">
        <f t="shared" si="1"/>
        <v>46120</v>
      </c>
      <c r="J27" s="26" t="s">
        <v>10</v>
      </c>
      <c r="K27" s="4"/>
      <c r="L27" s="8"/>
      <c r="M27" s="13"/>
      <c r="N27" s="2" t="s">
        <v>98</v>
      </c>
    </row>
    <row r="28" spans="1:14" ht="15" customHeight="1" x14ac:dyDescent="0.2">
      <c r="A28" s="17" t="s">
        <v>8</v>
      </c>
      <c r="B28" s="50">
        <v>46120</v>
      </c>
      <c r="C28" s="9"/>
      <c r="D28" s="65" t="s">
        <v>99</v>
      </c>
      <c r="E28" s="66" t="s">
        <v>48</v>
      </c>
      <c r="F28" s="71">
        <v>32520</v>
      </c>
      <c r="G28" s="2"/>
      <c r="H28" s="10">
        <f t="shared" si="2"/>
        <v>32520</v>
      </c>
      <c r="I28" s="11">
        <f t="shared" si="1"/>
        <v>46120</v>
      </c>
      <c r="J28" s="26" t="s">
        <v>10</v>
      </c>
      <c r="K28" s="4"/>
      <c r="L28" s="8"/>
      <c r="M28" s="13"/>
      <c r="N28" s="2"/>
    </row>
    <row r="29" spans="1:14" ht="15" customHeight="1" x14ac:dyDescent="0.2">
      <c r="A29" s="17" t="s">
        <v>8</v>
      </c>
      <c r="B29" s="50">
        <v>46120</v>
      </c>
      <c r="C29" s="76" t="s">
        <v>28</v>
      </c>
      <c r="D29" s="45" t="s">
        <v>100</v>
      </c>
      <c r="E29" s="45" t="s">
        <v>47</v>
      </c>
      <c r="F29" s="77">
        <v>240000</v>
      </c>
      <c r="H29" s="10">
        <f t="shared" si="2"/>
        <v>240000</v>
      </c>
      <c r="I29" s="11">
        <f t="shared" si="1"/>
        <v>46120</v>
      </c>
      <c r="J29" s="26" t="s">
        <v>10</v>
      </c>
      <c r="K29" s="4"/>
      <c r="L29" s="8"/>
      <c r="M29" s="13"/>
      <c r="N29" s="2"/>
    </row>
    <row r="30" spans="1:14" ht="15" customHeight="1" x14ac:dyDescent="0.2">
      <c r="A30" s="17" t="s">
        <v>8</v>
      </c>
      <c r="B30" s="50">
        <v>46120</v>
      </c>
      <c r="C30" s="76" t="s">
        <v>29</v>
      </c>
      <c r="D30" s="41" t="s">
        <v>101</v>
      </c>
      <c r="E30" s="41" t="s">
        <v>47</v>
      </c>
      <c r="F30" s="78">
        <v>210000</v>
      </c>
      <c r="H30" s="10">
        <f t="shared" si="2"/>
        <v>210000</v>
      </c>
      <c r="I30" s="11">
        <f t="shared" si="1"/>
        <v>46120</v>
      </c>
      <c r="J30" s="26" t="s">
        <v>10</v>
      </c>
      <c r="K30" s="4"/>
      <c r="L30" s="8"/>
      <c r="M30" s="13"/>
      <c r="N30" s="2"/>
    </row>
    <row r="31" spans="1:14" ht="15" customHeight="1" x14ac:dyDescent="0.2">
      <c r="A31" s="17" t="s">
        <v>8</v>
      </c>
      <c r="B31" s="50">
        <v>46120</v>
      </c>
      <c r="C31" s="9"/>
      <c r="D31" s="75" t="s">
        <v>102</v>
      </c>
      <c r="E31" s="66" t="s">
        <v>45</v>
      </c>
      <c r="F31" s="71">
        <v>77280</v>
      </c>
      <c r="H31" s="10">
        <f t="shared" si="2"/>
        <v>77280</v>
      </c>
      <c r="I31" s="11">
        <f t="shared" si="1"/>
        <v>46120</v>
      </c>
      <c r="J31" s="26" t="s">
        <v>10</v>
      </c>
      <c r="K31" s="4"/>
      <c r="L31" s="8"/>
      <c r="M31" s="13"/>
      <c r="N31" s="2"/>
    </row>
    <row r="32" spans="1:14" ht="15" customHeight="1" x14ac:dyDescent="0.2">
      <c r="A32" s="17" t="s">
        <v>8</v>
      </c>
      <c r="B32" s="68">
        <v>46120</v>
      </c>
      <c r="C32" s="9"/>
      <c r="D32" s="40" t="s">
        <v>103</v>
      </c>
      <c r="E32" s="37" t="s">
        <v>24</v>
      </c>
      <c r="F32" s="71">
        <v>362532.14</v>
      </c>
      <c r="G32" s="12">
        <v>3267.86</v>
      </c>
      <c r="H32" s="10">
        <f t="shared" si="2"/>
        <v>365800</v>
      </c>
      <c r="I32" s="11">
        <f t="shared" si="1"/>
        <v>46120</v>
      </c>
      <c r="J32" s="26" t="s">
        <v>10</v>
      </c>
      <c r="K32" s="4"/>
      <c r="L32" s="8"/>
      <c r="M32" s="13"/>
      <c r="N32" s="2"/>
    </row>
    <row r="33" spans="1:14" ht="15" customHeight="1" x14ac:dyDescent="0.2">
      <c r="A33" s="17" t="s">
        <v>8</v>
      </c>
      <c r="B33" s="64">
        <v>46122</v>
      </c>
      <c r="C33" s="9"/>
      <c r="D33" s="41" t="s">
        <v>104</v>
      </c>
      <c r="E33" s="41" t="s">
        <v>20</v>
      </c>
      <c r="F33" s="79">
        <v>31800</v>
      </c>
      <c r="G33" s="30"/>
      <c r="H33" s="10">
        <f t="shared" si="2"/>
        <v>31800</v>
      </c>
      <c r="I33" s="11">
        <f t="shared" si="1"/>
        <v>46122</v>
      </c>
      <c r="J33" s="26" t="s">
        <v>10</v>
      </c>
      <c r="K33" s="4"/>
      <c r="L33" s="8"/>
      <c r="M33" s="13"/>
      <c r="N33" s="2"/>
    </row>
    <row r="34" spans="1:14" ht="15" customHeight="1" x14ac:dyDescent="0.2">
      <c r="A34" s="17" t="s">
        <v>8</v>
      </c>
      <c r="B34" s="50">
        <v>46122</v>
      </c>
      <c r="C34" s="9"/>
      <c r="D34" s="47" t="s">
        <v>105</v>
      </c>
      <c r="E34" s="41" t="s">
        <v>14</v>
      </c>
      <c r="F34" s="80">
        <v>353614.29</v>
      </c>
      <c r="G34" s="12">
        <v>3185.71</v>
      </c>
      <c r="H34" s="10">
        <f t="shared" si="2"/>
        <v>356800</v>
      </c>
      <c r="I34" s="11">
        <f t="shared" si="1"/>
        <v>46122</v>
      </c>
      <c r="J34" s="26" t="s">
        <v>10</v>
      </c>
      <c r="K34" s="4"/>
      <c r="L34" s="8"/>
      <c r="M34" s="13"/>
      <c r="N34" s="2"/>
    </row>
    <row r="35" spans="1:14" ht="15" customHeight="1" x14ac:dyDescent="0.2">
      <c r="A35" s="17" t="s">
        <v>8</v>
      </c>
      <c r="B35" s="50">
        <v>46122</v>
      </c>
      <c r="C35" s="9"/>
      <c r="D35" s="81" t="s">
        <v>106</v>
      </c>
      <c r="E35" s="82" t="s">
        <v>19</v>
      </c>
      <c r="F35" s="80">
        <v>500000</v>
      </c>
      <c r="H35" s="10">
        <f t="shared" si="2"/>
        <v>500000</v>
      </c>
      <c r="I35" s="11">
        <f t="shared" si="1"/>
        <v>46122</v>
      </c>
      <c r="J35" s="26" t="s">
        <v>10</v>
      </c>
      <c r="K35" s="4"/>
      <c r="L35" s="8"/>
      <c r="M35" s="13"/>
      <c r="N35" s="1" t="s">
        <v>93</v>
      </c>
    </row>
    <row r="36" spans="1:14" ht="15" customHeight="1" x14ac:dyDescent="0.2">
      <c r="A36" s="17" t="s">
        <v>8</v>
      </c>
      <c r="B36" s="50">
        <v>46122</v>
      </c>
      <c r="C36" s="9"/>
      <c r="D36" s="45" t="s">
        <v>107</v>
      </c>
      <c r="E36" s="45" t="s">
        <v>49</v>
      </c>
      <c r="F36" s="83">
        <v>14160</v>
      </c>
      <c r="G36" s="31"/>
      <c r="H36" s="4">
        <f t="shared" si="2"/>
        <v>14160</v>
      </c>
      <c r="I36" s="11">
        <f t="shared" si="1"/>
        <v>46122</v>
      </c>
      <c r="J36" s="26" t="s">
        <v>10</v>
      </c>
      <c r="K36" s="4"/>
      <c r="L36" s="8"/>
      <c r="M36" s="13"/>
      <c r="N36" s="2"/>
    </row>
    <row r="37" spans="1:14" ht="15" customHeight="1" x14ac:dyDescent="0.2">
      <c r="A37" s="17" t="s">
        <v>8</v>
      </c>
      <c r="B37" s="50">
        <v>46122</v>
      </c>
      <c r="C37" s="36" t="s">
        <v>37</v>
      </c>
      <c r="D37" s="48" t="s">
        <v>66</v>
      </c>
      <c r="E37" s="49" t="s">
        <v>50</v>
      </c>
      <c r="F37" s="63">
        <v>84000</v>
      </c>
      <c r="H37" s="4">
        <f t="shared" si="2"/>
        <v>84000</v>
      </c>
      <c r="I37" s="11">
        <f t="shared" si="1"/>
        <v>46122</v>
      </c>
      <c r="J37" s="26" t="s">
        <v>10</v>
      </c>
      <c r="K37" s="4"/>
      <c r="L37" s="8"/>
      <c r="M37" s="13"/>
      <c r="N37" s="2"/>
    </row>
    <row r="38" spans="1:14" ht="15" customHeight="1" x14ac:dyDescent="0.2">
      <c r="A38" s="17" t="s">
        <v>8</v>
      </c>
      <c r="B38" s="50">
        <v>46122</v>
      </c>
      <c r="C38" s="36" t="s">
        <v>63</v>
      </c>
      <c r="D38" s="41" t="s">
        <v>108</v>
      </c>
      <c r="E38" s="42" t="s">
        <v>62</v>
      </c>
      <c r="F38" s="84">
        <v>80000</v>
      </c>
      <c r="H38" s="4">
        <f t="shared" si="2"/>
        <v>80000</v>
      </c>
      <c r="I38" s="11">
        <f t="shared" si="1"/>
        <v>46122</v>
      </c>
      <c r="J38" s="26" t="s">
        <v>10</v>
      </c>
      <c r="K38" s="4"/>
      <c r="L38" s="8"/>
      <c r="M38" s="13"/>
      <c r="N38" s="2"/>
    </row>
    <row r="39" spans="1:14" ht="15" customHeight="1" x14ac:dyDescent="0.2">
      <c r="A39" s="17" t="s">
        <v>8</v>
      </c>
      <c r="B39" s="50">
        <v>46122</v>
      </c>
      <c r="C39" s="36" t="s">
        <v>63</v>
      </c>
      <c r="D39" s="43" t="s">
        <v>70</v>
      </c>
      <c r="E39" s="44" t="s">
        <v>17</v>
      </c>
      <c r="F39" s="63">
        <v>168900</v>
      </c>
      <c r="H39" s="4">
        <f t="shared" si="2"/>
        <v>168900</v>
      </c>
      <c r="I39" s="11">
        <f t="shared" si="1"/>
        <v>46122</v>
      </c>
      <c r="J39" s="26" t="s">
        <v>10</v>
      </c>
      <c r="K39" s="4"/>
      <c r="L39" s="8"/>
      <c r="M39" s="13"/>
      <c r="N39" s="2"/>
    </row>
    <row r="40" spans="1:14" ht="15" customHeight="1" x14ac:dyDescent="0.2">
      <c r="A40" s="17" t="s">
        <v>8</v>
      </c>
      <c r="B40" s="50">
        <v>46122</v>
      </c>
      <c r="C40" s="9"/>
      <c r="D40" s="41" t="s">
        <v>109</v>
      </c>
      <c r="E40" s="42" t="s">
        <v>46</v>
      </c>
      <c r="F40" s="63">
        <v>118600</v>
      </c>
      <c r="H40" s="4">
        <f t="shared" si="2"/>
        <v>118600</v>
      </c>
      <c r="I40" s="11">
        <f t="shared" si="1"/>
        <v>46122</v>
      </c>
      <c r="J40" s="26" t="s">
        <v>10</v>
      </c>
      <c r="K40" s="4"/>
      <c r="L40" s="8"/>
      <c r="M40" s="13"/>
      <c r="N40" s="2"/>
    </row>
    <row r="41" spans="1:14" ht="15" customHeight="1" x14ac:dyDescent="0.2">
      <c r="A41" s="17" t="s">
        <v>8</v>
      </c>
      <c r="B41" s="14"/>
      <c r="D41" s="2"/>
      <c r="E41" s="2"/>
      <c r="F41" s="85"/>
      <c r="H41" s="4">
        <f t="shared" si="2"/>
        <v>0</v>
      </c>
      <c r="I41" s="11">
        <f t="shared" si="1"/>
        <v>0</v>
      </c>
      <c r="J41" s="26" t="s">
        <v>10</v>
      </c>
      <c r="K41" s="4"/>
      <c r="L41" s="8"/>
      <c r="M41" s="13"/>
      <c r="N41" s="2"/>
    </row>
    <row r="42" spans="1:14" ht="15" customHeight="1" x14ac:dyDescent="0.2">
      <c r="A42" s="17" t="s">
        <v>8</v>
      </c>
      <c r="B42" s="2"/>
      <c r="D42" s="2"/>
      <c r="E42" s="2"/>
      <c r="F42" s="85"/>
      <c r="H42" s="4">
        <f t="shared" si="2"/>
        <v>0</v>
      </c>
      <c r="I42" s="11">
        <f t="shared" si="1"/>
        <v>0</v>
      </c>
      <c r="J42" s="26" t="s">
        <v>10</v>
      </c>
      <c r="K42" s="4"/>
      <c r="L42" s="8"/>
      <c r="M42" s="13"/>
      <c r="N42" s="2"/>
    </row>
    <row r="43" spans="1:14" ht="15" customHeight="1" x14ac:dyDescent="0.2">
      <c r="A43" s="17" t="s">
        <v>8</v>
      </c>
      <c r="B43" s="2"/>
      <c r="D43" s="2"/>
      <c r="E43" s="2"/>
      <c r="F43" s="85"/>
      <c r="H43" s="4">
        <f t="shared" si="2"/>
        <v>0</v>
      </c>
      <c r="I43" s="11">
        <f t="shared" si="1"/>
        <v>0</v>
      </c>
      <c r="J43" s="26" t="s">
        <v>10</v>
      </c>
      <c r="K43" s="4"/>
      <c r="L43" s="8"/>
      <c r="M43" s="13"/>
      <c r="N43" s="2"/>
    </row>
    <row r="44" spans="1:14" ht="15" customHeight="1" x14ac:dyDescent="0.2">
      <c r="A44" s="17" t="s">
        <v>8</v>
      </c>
      <c r="B44" s="2"/>
      <c r="D44" s="2"/>
      <c r="E44" s="2"/>
      <c r="F44" s="85"/>
      <c r="H44" s="4">
        <f t="shared" si="2"/>
        <v>0</v>
      </c>
      <c r="I44" s="11">
        <f t="shared" si="1"/>
        <v>0</v>
      </c>
      <c r="J44" s="26" t="s">
        <v>10</v>
      </c>
      <c r="K44" s="4"/>
      <c r="L44" s="8"/>
      <c r="M44" s="13"/>
      <c r="N44" s="2"/>
    </row>
    <row r="45" spans="1:14" ht="15" customHeight="1" x14ac:dyDescent="0.2">
      <c r="A45" s="17" t="s">
        <v>8</v>
      </c>
      <c r="B45" s="2"/>
      <c r="D45" s="2"/>
      <c r="E45" s="2"/>
      <c r="F45" s="85"/>
      <c r="H45" s="4">
        <f t="shared" si="2"/>
        <v>0</v>
      </c>
      <c r="I45" s="11">
        <f t="shared" si="1"/>
        <v>0</v>
      </c>
      <c r="J45" s="26" t="s">
        <v>10</v>
      </c>
      <c r="K45" s="4"/>
      <c r="L45" s="8"/>
      <c r="M45" s="13"/>
      <c r="N45" s="2"/>
    </row>
    <row r="46" spans="1:14" ht="15" customHeight="1" x14ac:dyDescent="0.2">
      <c r="A46" s="17" t="s">
        <v>8</v>
      </c>
      <c r="B46" s="2"/>
      <c r="D46" s="2"/>
      <c r="E46" s="2"/>
      <c r="F46" s="85"/>
      <c r="H46" s="4">
        <f t="shared" si="2"/>
        <v>0</v>
      </c>
      <c r="I46" s="11">
        <f t="shared" si="1"/>
        <v>0</v>
      </c>
      <c r="J46" s="26" t="s">
        <v>10</v>
      </c>
      <c r="K46" s="4"/>
      <c r="L46" s="8"/>
      <c r="M46" s="13"/>
      <c r="N46" s="2"/>
    </row>
    <row r="47" spans="1:14" ht="15" customHeight="1" x14ac:dyDescent="0.2">
      <c r="A47" s="17" t="s">
        <v>8</v>
      </c>
      <c r="B47" s="2"/>
      <c r="D47" s="2"/>
      <c r="E47" s="2"/>
      <c r="F47" s="85"/>
      <c r="H47" s="4">
        <f t="shared" si="2"/>
        <v>0</v>
      </c>
      <c r="I47" s="11">
        <f t="shared" si="1"/>
        <v>0</v>
      </c>
      <c r="J47" s="26" t="s">
        <v>10</v>
      </c>
      <c r="K47" s="4"/>
      <c r="L47" s="8"/>
      <c r="M47" s="13"/>
      <c r="N47" s="2"/>
    </row>
    <row r="48" spans="1:14" ht="15" customHeight="1" x14ac:dyDescent="0.2">
      <c r="A48" s="17" t="s">
        <v>8</v>
      </c>
      <c r="B48" s="2"/>
      <c r="D48" s="2"/>
      <c r="E48" s="2"/>
      <c r="F48" s="85"/>
      <c r="H48" s="4">
        <f t="shared" si="2"/>
        <v>0</v>
      </c>
      <c r="I48" s="11">
        <f t="shared" si="1"/>
        <v>0</v>
      </c>
      <c r="J48" s="26" t="s">
        <v>10</v>
      </c>
      <c r="K48" s="4"/>
      <c r="L48" s="8"/>
      <c r="M48" s="13"/>
      <c r="N48" s="2"/>
    </row>
    <row r="49" spans="1:14" ht="15" customHeight="1" x14ac:dyDescent="0.2">
      <c r="A49" s="17" t="s">
        <v>8</v>
      </c>
      <c r="B49" s="2"/>
      <c r="D49" s="2"/>
      <c r="E49" s="2"/>
      <c r="F49" s="85"/>
      <c r="H49" s="4">
        <f t="shared" si="2"/>
        <v>0</v>
      </c>
      <c r="I49" s="11">
        <f t="shared" si="1"/>
        <v>0</v>
      </c>
      <c r="J49" s="26" t="s">
        <v>10</v>
      </c>
      <c r="K49" s="4"/>
      <c r="L49" s="8"/>
      <c r="M49" s="13"/>
      <c r="N49" s="2"/>
    </row>
    <row r="50" spans="1:14" ht="15" customHeight="1" x14ac:dyDescent="0.2">
      <c r="A50" s="17" t="s">
        <v>8</v>
      </c>
      <c r="B50" s="2"/>
      <c r="D50" s="2"/>
      <c r="E50" s="2"/>
      <c r="F50" s="85"/>
      <c r="H50" s="4">
        <f t="shared" si="2"/>
        <v>0</v>
      </c>
      <c r="I50" s="11">
        <f t="shared" si="1"/>
        <v>0</v>
      </c>
      <c r="J50" s="26" t="s">
        <v>10</v>
      </c>
      <c r="K50" s="4"/>
      <c r="L50" s="8"/>
      <c r="M50" s="13"/>
      <c r="N50" s="2"/>
    </row>
    <row r="51" spans="1:14" ht="15" customHeight="1" x14ac:dyDescent="0.2">
      <c r="A51" s="17" t="s">
        <v>8</v>
      </c>
      <c r="B51" s="2"/>
      <c r="D51" s="2"/>
      <c r="E51" s="2"/>
      <c r="F51" s="85"/>
      <c r="H51" s="4">
        <f t="shared" si="2"/>
        <v>0</v>
      </c>
      <c r="I51" s="11">
        <f t="shared" si="1"/>
        <v>0</v>
      </c>
      <c r="J51" s="26" t="s">
        <v>10</v>
      </c>
      <c r="K51" s="4"/>
      <c r="L51" s="8"/>
      <c r="M51" s="13"/>
      <c r="N51" s="2"/>
    </row>
    <row r="52" spans="1:14" ht="15" customHeight="1" x14ac:dyDescent="0.2">
      <c r="A52" s="17" t="s">
        <v>8</v>
      </c>
      <c r="B52" s="2"/>
      <c r="D52" s="2"/>
      <c r="E52" s="2"/>
      <c r="F52" s="85"/>
      <c r="H52" s="4">
        <f t="shared" si="2"/>
        <v>0</v>
      </c>
      <c r="I52" s="11">
        <f t="shared" si="1"/>
        <v>0</v>
      </c>
      <c r="J52" s="26" t="s">
        <v>10</v>
      </c>
      <c r="K52" s="4"/>
      <c r="L52" s="8"/>
      <c r="M52" s="13"/>
      <c r="N52" s="2"/>
    </row>
    <row r="53" spans="1:14" ht="15" customHeight="1" x14ac:dyDescent="0.2">
      <c r="A53" s="17" t="s">
        <v>8</v>
      </c>
      <c r="B53" s="2"/>
      <c r="D53" s="2"/>
      <c r="E53" s="2"/>
      <c r="F53" s="85"/>
      <c r="H53" s="4">
        <f t="shared" si="2"/>
        <v>0</v>
      </c>
      <c r="I53" s="11">
        <f t="shared" si="1"/>
        <v>0</v>
      </c>
      <c r="J53" s="26" t="s">
        <v>10</v>
      </c>
      <c r="K53" s="4"/>
      <c r="L53" s="8"/>
      <c r="M53" s="13"/>
      <c r="N53" s="2"/>
    </row>
    <row r="54" spans="1:14" ht="15" customHeight="1" x14ac:dyDescent="0.2">
      <c r="A54" s="17" t="s">
        <v>8</v>
      </c>
      <c r="B54" s="2"/>
      <c r="D54" s="2"/>
      <c r="E54" s="2"/>
      <c r="F54" s="85"/>
      <c r="H54" s="4">
        <f t="shared" si="2"/>
        <v>0</v>
      </c>
      <c r="I54" s="11">
        <f t="shared" si="1"/>
        <v>0</v>
      </c>
      <c r="J54" s="26" t="s">
        <v>10</v>
      </c>
      <c r="K54" s="4"/>
      <c r="L54" s="8"/>
      <c r="M54" s="13"/>
      <c r="N54" s="2"/>
    </row>
    <row r="55" spans="1:14" ht="15" customHeight="1" x14ac:dyDescent="0.2">
      <c r="A55" s="17" t="s">
        <v>8</v>
      </c>
      <c r="B55" s="2"/>
      <c r="D55" s="2"/>
      <c r="E55" s="2"/>
      <c r="F55" s="85"/>
      <c r="H55" s="4">
        <f t="shared" si="2"/>
        <v>0</v>
      </c>
      <c r="I55" s="11">
        <f t="shared" si="1"/>
        <v>0</v>
      </c>
      <c r="J55" s="26" t="s">
        <v>10</v>
      </c>
      <c r="K55" s="4"/>
      <c r="L55" s="8"/>
      <c r="M55" s="13"/>
      <c r="N55" s="2"/>
    </row>
    <row r="56" spans="1:14" ht="15" customHeight="1" x14ac:dyDescent="0.2">
      <c r="A56" s="17" t="s">
        <v>8</v>
      </c>
      <c r="B56" s="2"/>
      <c r="D56" s="2"/>
      <c r="E56" s="2"/>
      <c r="F56" s="85"/>
      <c r="H56" s="4">
        <f t="shared" si="2"/>
        <v>0</v>
      </c>
      <c r="I56" s="11">
        <f t="shared" si="1"/>
        <v>0</v>
      </c>
      <c r="J56" s="26" t="s">
        <v>10</v>
      </c>
      <c r="K56" s="4"/>
      <c r="L56" s="8"/>
      <c r="M56" s="13"/>
      <c r="N56" s="2"/>
    </row>
    <row r="57" spans="1:14" ht="15" customHeight="1" x14ac:dyDescent="0.2">
      <c r="A57" s="17" t="s">
        <v>8</v>
      </c>
      <c r="B57" s="2"/>
      <c r="D57" s="2"/>
      <c r="E57" s="2"/>
      <c r="F57" s="85"/>
      <c r="H57" s="4">
        <f t="shared" si="2"/>
        <v>0</v>
      </c>
      <c r="I57" s="11">
        <f t="shared" si="1"/>
        <v>0</v>
      </c>
      <c r="J57" s="26" t="s">
        <v>10</v>
      </c>
      <c r="K57" s="4"/>
      <c r="L57" s="8"/>
      <c r="M57" s="13"/>
      <c r="N57" s="2"/>
    </row>
    <row r="58" spans="1:14" ht="15" customHeight="1" x14ac:dyDescent="0.2">
      <c r="A58" s="17" t="s">
        <v>8</v>
      </c>
      <c r="B58" s="2"/>
      <c r="D58" s="2"/>
      <c r="E58" s="2"/>
      <c r="F58" s="85"/>
      <c r="H58" s="4">
        <f t="shared" si="2"/>
        <v>0</v>
      </c>
      <c r="I58" s="11">
        <f t="shared" si="1"/>
        <v>0</v>
      </c>
      <c r="J58" s="26" t="s">
        <v>10</v>
      </c>
      <c r="K58" s="4"/>
      <c r="L58" s="8"/>
      <c r="M58" s="13"/>
      <c r="N58" s="2"/>
    </row>
    <row r="59" spans="1:14" ht="15" customHeight="1" x14ac:dyDescent="0.2">
      <c r="A59" s="17" t="s">
        <v>8</v>
      </c>
      <c r="B59" s="2"/>
      <c r="D59" s="2"/>
      <c r="E59" s="2"/>
      <c r="F59" s="85"/>
      <c r="H59" s="4">
        <f t="shared" si="2"/>
        <v>0</v>
      </c>
      <c r="I59" s="11">
        <f t="shared" ref="I59:I121" si="3">B59</f>
        <v>0</v>
      </c>
      <c r="J59" s="26" t="s">
        <v>10</v>
      </c>
      <c r="K59" s="4"/>
      <c r="L59" s="8"/>
      <c r="M59" s="13"/>
      <c r="N59" s="2"/>
    </row>
    <row r="60" spans="1:14" ht="15" customHeight="1" x14ac:dyDescent="0.2">
      <c r="A60" s="17" t="s">
        <v>8</v>
      </c>
      <c r="B60" s="2"/>
      <c r="D60" s="2"/>
      <c r="E60" s="2"/>
      <c r="F60" s="85"/>
      <c r="H60" s="4">
        <f t="shared" si="2"/>
        <v>0</v>
      </c>
      <c r="I60" s="11">
        <f t="shared" si="3"/>
        <v>0</v>
      </c>
      <c r="J60" s="26" t="s">
        <v>10</v>
      </c>
      <c r="K60" s="4"/>
      <c r="L60" s="8"/>
      <c r="M60" s="13"/>
      <c r="N60" s="2"/>
    </row>
    <row r="61" spans="1:14" ht="15" customHeight="1" x14ac:dyDescent="0.2">
      <c r="A61" s="17" t="s">
        <v>8</v>
      </c>
      <c r="B61" s="2"/>
      <c r="D61" s="2"/>
      <c r="E61" s="2"/>
      <c r="F61" s="85"/>
      <c r="H61" s="4">
        <f t="shared" si="2"/>
        <v>0</v>
      </c>
      <c r="I61" s="11">
        <f t="shared" si="3"/>
        <v>0</v>
      </c>
      <c r="J61" s="26" t="s">
        <v>10</v>
      </c>
      <c r="K61" s="4"/>
      <c r="L61" s="8"/>
      <c r="M61" s="13"/>
      <c r="N61" s="2"/>
    </row>
    <row r="62" spans="1:14" ht="15" customHeight="1" x14ac:dyDescent="0.2">
      <c r="A62" s="17" t="s">
        <v>8</v>
      </c>
      <c r="B62" s="2"/>
      <c r="D62" s="2"/>
      <c r="E62" s="2"/>
      <c r="F62" s="85"/>
      <c r="H62" s="4">
        <f t="shared" si="2"/>
        <v>0</v>
      </c>
      <c r="I62" s="11">
        <f t="shared" si="3"/>
        <v>0</v>
      </c>
      <c r="J62" s="26" t="s">
        <v>10</v>
      </c>
      <c r="K62" s="4"/>
      <c r="L62" s="8"/>
      <c r="M62" s="13"/>
      <c r="N62" s="2"/>
    </row>
    <row r="63" spans="1:14" ht="15" customHeight="1" x14ac:dyDescent="0.2">
      <c r="A63" s="17" t="s">
        <v>8</v>
      </c>
      <c r="B63" s="2"/>
      <c r="D63" s="2"/>
      <c r="E63" s="2"/>
      <c r="F63" s="85"/>
      <c r="H63" s="4">
        <f t="shared" si="2"/>
        <v>0</v>
      </c>
      <c r="I63" s="11">
        <f t="shared" si="3"/>
        <v>0</v>
      </c>
      <c r="J63" s="26" t="s">
        <v>10</v>
      </c>
      <c r="K63" s="4"/>
      <c r="L63" s="8"/>
      <c r="M63" s="13"/>
      <c r="N63" s="2"/>
    </row>
    <row r="64" spans="1:14" ht="15" customHeight="1" x14ac:dyDescent="0.2">
      <c r="A64" s="17" t="s">
        <v>8</v>
      </c>
      <c r="B64" s="2"/>
      <c r="D64" s="2"/>
      <c r="E64" s="2"/>
      <c r="F64" s="85"/>
      <c r="H64" s="4">
        <f t="shared" si="2"/>
        <v>0</v>
      </c>
      <c r="I64" s="11">
        <f t="shared" si="3"/>
        <v>0</v>
      </c>
      <c r="J64" s="26" t="s">
        <v>10</v>
      </c>
      <c r="K64" s="4"/>
      <c r="L64" s="8"/>
      <c r="M64" s="13"/>
      <c r="N64" s="2"/>
    </row>
    <row r="65" spans="1:14" ht="15" customHeight="1" x14ac:dyDescent="0.2">
      <c r="A65" s="17" t="s">
        <v>8</v>
      </c>
      <c r="B65" s="2"/>
      <c r="D65" s="2"/>
      <c r="E65" s="2"/>
      <c r="F65" s="85"/>
      <c r="H65" s="4">
        <f t="shared" si="2"/>
        <v>0</v>
      </c>
      <c r="I65" s="11">
        <f t="shared" si="3"/>
        <v>0</v>
      </c>
      <c r="J65" s="26" t="s">
        <v>10</v>
      </c>
      <c r="K65" s="4"/>
      <c r="L65" s="8"/>
      <c r="M65" s="13"/>
      <c r="N65" s="2"/>
    </row>
    <row r="66" spans="1:14" ht="15" customHeight="1" x14ac:dyDescent="0.2">
      <c r="A66" s="17" t="s">
        <v>8</v>
      </c>
      <c r="B66" s="2"/>
      <c r="D66" s="2"/>
      <c r="E66" s="2"/>
      <c r="F66" s="85"/>
      <c r="H66" s="4">
        <f t="shared" si="2"/>
        <v>0</v>
      </c>
      <c r="I66" s="11">
        <f t="shared" si="3"/>
        <v>0</v>
      </c>
      <c r="J66" s="26" t="s">
        <v>10</v>
      </c>
      <c r="K66" s="4"/>
      <c r="L66" s="8"/>
      <c r="M66" s="13"/>
      <c r="N66" s="2"/>
    </row>
    <row r="67" spans="1:14" ht="15" customHeight="1" x14ac:dyDescent="0.2">
      <c r="A67" s="17" t="s">
        <v>8</v>
      </c>
      <c r="B67" s="2"/>
      <c r="D67" s="2"/>
      <c r="E67" s="2"/>
      <c r="F67" s="85"/>
      <c r="H67" s="4">
        <f t="shared" si="2"/>
        <v>0</v>
      </c>
      <c r="I67" s="11">
        <f t="shared" si="3"/>
        <v>0</v>
      </c>
      <c r="J67" s="26" t="s">
        <v>10</v>
      </c>
      <c r="K67" s="4"/>
      <c r="L67" s="8"/>
      <c r="M67" s="13"/>
      <c r="N67" s="2"/>
    </row>
    <row r="68" spans="1:14" ht="15" customHeight="1" x14ac:dyDescent="0.2">
      <c r="A68" s="17" t="s">
        <v>8</v>
      </c>
      <c r="B68" s="2"/>
      <c r="D68" s="2"/>
      <c r="E68" s="2"/>
      <c r="F68" s="85"/>
      <c r="H68" s="4">
        <f t="shared" si="2"/>
        <v>0</v>
      </c>
      <c r="I68" s="11">
        <f t="shared" si="3"/>
        <v>0</v>
      </c>
      <c r="J68" s="26" t="s">
        <v>10</v>
      </c>
      <c r="K68" s="4"/>
      <c r="L68" s="8"/>
      <c r="M68" s="13"/>
      <c r="N68" s="2"/>
    </row>
    <row r="69" spans="1:14" ht="15" customHeight="1" x14ac:dyDescent="0.2">
      <c r="A69" s="17" t="s">
        <v>8</v>
      </c>
      <c r="B69" s="2"/>
      <c r="D69" s="2"/>
      <c r="E69" s="2"/>
      <c r="F69" s="85"/>
      <c r="H69" s="4">
        <f t="shared" si="2"/>
        <v>0</v>
      </c>
      <c r="I69" s="11">
        <f t="shared" si="3"/>
        <v>0</v>
      </c>
      <c r="J69" s="26" t="s">
        <v>10</v>
      </c>
      <c r="K69" s="4"/>
      <c r="L69" s="8"/>
      <c r="M69" s="13"/>
      <c r="N69" s="2"/>
    </row>
    <row r="70" spans="1:14" ht="15" customHeight="1" x14ac:dyDescent="0.2">
      <c r="A70" s="17" t="s">
        <v>8</v>
      </c>
      <c r="B70" s="2"/>
      <c r="D70" s="2"/>
      <c r="E70" s="2"/>
      <c r="F70" s="85"/>
      <c r="H70" s="4">
        <f t="shared" si="2"/>
        <v>0</v>
      </c>
      <c r="I70" s="11">
        <f t="shared" si="3"/>
        <v>0</v>
      </c>
      <c r="J70" s="26" t="s">
        <v>10</v>
      </c>
      <c r="K70" s="4"/>
      <c r="L70" s="8"/>
      <c r="M70" s="13"/>
      <c r="N70" s="2"/>
    </row>
    <row r="71" spans="1:14" ht="15" customHeight="1" x14ac:dyDescent="0.2">
      <c r="A71" s="17" t="s">
        <v>8</v>
      </c>
      <c r="B71" s="2"/>
      <c r="D71" s="2"/>
      <c r="E71" s="2"/>
      <c r="F71" s="85"/>
      <c r="H71" s="4">
        <f t="shared" si="2"/>
        <v>0</v>
      </c>
      <c r="I71" s="11">
        <f t="shared" si="3"/>
        <v>0</v>
      </c>
      <c r="J71" s="26" t="s">
        <v>10</v>
      </c>
      <c r="K71" s="4"/>
      <c r="L71" s="8"/>
      <c r="M71" s="13"/>
      <c r="N71" s="2"/>
    </row>
    <row r="72" spans="1:14" ht="15" customHeight="1" x14ac:dyDescent="0.2">
      <c r="A72" s="17" t="s">
        <v>8</v>
      </c>
      <c r="B72" s="2"/>
      <c r="D72" s="2"/>
      <c r="E72" s="2"/>
      <c r="F72" s="85"/>
      <c r="H72" s="4">
        <f t="shared" si="2"/>
        <v>0</v>
      </c>
      <c r="I72" s="11">
        <f t="shared" si="3"/>
        <v>0</v>
      </c>
      <c r="J72" s="26" t="s">
        <v>10</v>
      </c>
      <c r="K72" s="4"/>
      <c r="L72" s="8"/>
      <c r="M72" s="13"/>
      <c r="N72" s="2"/>
    </row>
    <row r="73" spans="1:14" ht="15" customHeight="1" x14ac:dyDescent="0.2">
      <c r="A73" s="17" t="s">
        <v>8</v>
      </c>
      <c r="B73" s="2"/>
      <c r="D73" s="2"/>
      <c r="E73" s="2"/>
      <c r="F73" s="85"/>
      <c r="H73" s="4">
        <f t="shared" si="2"/>
        <v>0</v>
      </c>
      <c r="I73" s="11">
        <f t="shared" si="3"/>
        <v>0</v>
      </c>
      <c r="J73" s="26" t="s">
        <v>10</v>
      </c>
      <c r="K73" s="4"/>
      <c r="L73" s="8"/>
      <c r="M73" s="13"/>
      <c r="N73" s="2"/>
    </row>
    <row r="74" spans="1:14" ht="15" customHeight="1" x14ac:dyDescent="0.2">
      <c r="A74" s="17" t="s">
        <v>8</v>
      </c>
      <c r="B74" s="2"/>
      <c r="D74" s="2"/>
      <c r="E74" s="2"/>
      <c r="F74" s="85"/>
      <c r="H74" s="4">
        <f t="shared" si="2"/>
        <v>0</v>
      </c>
      <c r="I74" s="11">
        <f t="shared" si="3"/>
        <v>0</v>
      </c>
      <c r="J74" s="26" t="s">
        <v>10</v>
      </c>
      <c r="K74" s="4"/>
      <c r="L74" s="8"/>
      <c r="M74" s="13"/>
      <c r="N74" s="2"/>
    </row>
    <row r="75" spans="1:14" ht="15" customHeight="1" x14ac:dyDescent="0.2">
      <c r="A75" s="17" t="s">
        <v>8</v>
      </c>
      <c r="B75" s="2"/>
      <c r="D75" s="2"/>
      <c r="E75" s="2"/>
      <c r="F75" s="85"/>
      <c r="H75" s="4">
        <f t="shared" si="2"/>
        <v>0</v>
      </c>
      <c r="I75" s="11">
        <f t="shared" si="3"/>
        <v>0</v>
      </c>
      <c r="J75" s="26" t="s">
        <v>10</v>
      </c>
      <c r="K75" s="4"/>
      <c r="L75" s="8"/>
      <c r="M75" s="13"/>
      <c r="N75" s="2"/>
    </row>
    <row r="76" spans="1:14" ht="15" customHeight="1" x14ac:dyDescent="0.2">
      <c r="A76" s="17" t="s">
        <v>8</v>
      </c>
      <c r="B76" s="2"/>
      <c r="D76" s="2"/>
      <c r="E76" s="2"/>
      <c r="F76" s="85"/>
      <c r="H76" s="4">
        <f t="shared" si="2"/>
        <v>0</v>
      </c>
      <c r="I76" s="11">
        <f t="shared" si="3"/>
        <v>0</v>
      </c>
      <c r="J76" s="26" t="s">
        <v>10</v>
      </c>
      <c r="K76" s="4"/>
      <c r="L76" s="8"/>
      <c r="M76" s="13"/>
      <c r="N76" s="2"/>
    </row>
    <row r="77" spans="1:14" ht="15" customHeight="1" x14ac:dyDescent="0.2">
      <c r="A77" s="17" t="s">
        <v>8</v>
      </c>
      <c r="B77" s="2"/>
      <c r="D77" s="2"/>
      <c r="E77" s="2"/>
      <c r="F77" s="85"/>
      <c r="H77" s="4">
        <f t="shared" si="2"/>
        <v>0</v>
      </c>
      <c r="I77" s="11">
        <f t="shared" si="3"/>
        <v>0</v>
      </c>
      <c r="J77" s="26" t="s">
        <v>10</v>
      </c>
      <c r="K77" s="4"/>
      <c r="L77" s="8"/>
      <c r="M77" s="13"/>
      <c r="N77" s="2"/>
    </row>
    <row r="78" spans="1:14" ht="15" customHeight="1" x14ac:dyDescent="0.2">
      <c r="A78" s="17" t="s">
        <v>8</v>
      </c>
      <c r="B78" s="2"/>
      <c r="D78" s="2"/>
      <c r="E78" s="2"/>
      <c r="F78" s="85"/>
      <c r="H78" s="4">
        <f t="shared" si="2"/>
        <v>0</v>
      </c>
      <c r="I78" s="11">
        <f t="shared" si="3"/>
        <v>0</v>
      </c>
      <c r="J78" s="26" t="s">
        <v>10</v>
      </c>
      <c r="K78" s="4"/>
      <c r="L78" s="8"/>
      <c r="M78" s="13"/>
      <c r="N78" s="2"/>
    </row>
    <row r="79" spans="1:14" ht="15" customHeight="1" x14ac:dyDescent="0.2">
      <c r="A79" s="17" t="s">
        <v>8</v>
      </c>
      <c r="B79" s="2"/>
      <c r="D79" s="2"/>
      <c r="E79" s="2"/>
      <c r="F79" s="85"/>
      <c r="H79" s="4">
        <f t="shared" si="2"/>
        <v>0</v>
      </c>
      <c r="I79" s="11">
        <f t="shared" si="3"/>
        <v>0</v>
      </c>
      <c r="J79" s="26" t="s">
        <v>10</v>
      </c>
      <c r="K79" s="4"/>
      <c r="L79" s="8"/>
      <c r="M79" s="13"/>
      <c r="N79" s="2"/>
    </row>
    <row r="80" spans="1:14" ht="15" customHeight="1" x14ac:dyDescent="0.2">
      <c r="A80" s="17" t="s">
        <v>8</v>
      </c>
      <c r="B80" s="2"/>
      <c r="D80" s="2"/>
      <c r="E80" s="2"/>
      <c r="F80" s="85"/>
      <c r="H80" s="4">
        <f t="shared" si="2"/>
        <v>0</v>
      </c>
      <c r="I80" s="11">
        <f t="shared" si="3"/>
        <v>0</v>
      </c>
      <c r="J80" s="26" t="s">
        <v>10</v>
      </c>
      <c r="K80" s="4"/>
      <c r="L80" s="8"/>
      <c r="M80" s="13"/>
      <c r="N80" s="2"/>
    </row>
    <row r="81" spans="1:14" ht="15" customHeight="1" x14ac:dyDescent="0.2">
      <c r="A81" s="17" t="s">
        <v>8</v>
      </c>
      <c r="B81" s="2"/>
      <c r="D81" s="2"/>
      <c r="E81" s="2"/>
      <c r="F81" s="85"/>
      <c r="H81" s="4">
        <f t="shared" si="2"/>
        <v>0</v>
      </c>
      <c r="I81" s="11">
        <f t="shared" si="3"/>
        <v>0</v>
      </c>
      <c r="J81" s="26" t="s">
        <v>10</v>
      </c>
      <c r="K81" s="4"/>
      <c r="L81" s="8"/>
      <c r="M81" s="13"/>
      <c r="N81" s="2"/>
    </row>
    <row r="82" spans="1:14" ht="15" customHeight="1" x14ac:dyDescent="0.2">
      <c r="A82" s="17" t="s">
        <v>8</v>
      </c>
      <c r="B82" s="2"/>
      <c r="D82" s="2"/>
      <c r="E82" s="2"/>
      <c r="F82" s="85"/>
      <c r="H82" s="4">
        <f t="shared" si="2"/>
        <v>0</v>
      </c>
      <c r="I82" s="11">
        <f t="shared" si="3"/>
        <v>0</v>
      </c>
      <c r="J82" s="26" t="s">
        <v>10</v>
      </c>
      <c r="K82" s="4"/>
      <c r="L82" s="8"/>
      <c r="M82" s="13"/>
      <c r="N82" s="2"/>
    </row>
    <row r="83" spans="1:14" ht="15" customHeight="1" x14ac:dyDescent="0.2">
      <c r="A83" s="17" t="s">
        <v>8</v>
      </c>
      <c r="B83" s="2"/>
      <c r="D83" s="2"/>
      <c r="E83" s="2"/>
      <c r="F83" s="85"/>
      <c r="H83" s="4">
        <f t="shared" si="2"/>
        <v>0</v>
      </c>
      <c r="I83" s="11">
        <f t="shared" si="3"/>
        <v>0</v>
      </c>
      <c r="J83" s="26" t="s">
        <v>10</v>
      </c>
      <c r="K83" s="4"/>
      <c r="L83" s="8"/>
      <c r="M83" s="13"/>
      <c r="N83" s="2"/>
    </row>
    <row r="84" spans="1:14" ht="15" customHeight="1" x14ac:dyDescent="0.2">
      <c r="A84" s="17" t="s">
        <v>8</v>
      </c>
      <c r="B84" s="2"/>
      <c r="D84" s="2"/>
      <c r="E84" s="2"/>
      <c r="F84" s="85"/>
      <c r="H84" s="4">
        <f t="shared" si="2"/>
        <v>0</v>
      </c>
      <c r="I84" s="11">
        <f t="shared" si="3"/>
        <v>0</v>
      </c>
      <c r="J84" s="26" t="s">
        <v>10</v>
      </c>
      <c r="K84" s="4"/>
      <c r="L84" s="8"/>
      <c r="M84" s="13"/>
      <c r="N84" s="2"/>
    </row>
    <row r="85" spans="1:14" ht="15" customHeight="1" x14ac:dyDescent="0.2">
      <c r="A85" s="17" t="s">
        <v>8</v>
      </c>
      <c r="B85" s="2"/>
      <c r="D85" s="2"/>
      <c r="E85" s="2"/>
      <c r="F85" s="85"/>
      <c r="H85" s="4">
        <f t="shared" si="2"/>
        <v>0</v>
      </c>
      <c r="I85" s="11">
        <f t="shared" si="3"/>
        <v>0</v>
      </c>
      <c r="J85" s="26" t="s">
        <v>10</v>
      </c>
      <c r="K85" s="4"/>
      <c r="L85" s="8"/>
      <c r="M85" s="13"/>
      <c r="N85" s="2"/>
    </row>
    <row r="86" spans="1:14" ht="15" customHeight="1" x14ac:dyDescent="0.2">
      <c r="A86" s="17" t="s">
        <v>8</v>
      </c>
      <c r="B86" s="2"/>
      <c r="D86" s="2"/>
      <c r="E86" s="2"/>
      <c r="F86" s="85"/>
      <c r="H86" s="4">
        <f t="shared" si="2"/>
        <v>0</v>
      </c>
      <c r="I86" s="11">
        <f t="shared" si="3"/>
        <v>0</v>
      </c>
      <c r="J86" s="26" t="s">
        <v>10</v>
      </c>
      <c r="K86" s="4"/>
      <c r="L86" s="8"/>
      <c r="M86" s="13"/>
      <c r="N86" s="2"/>
    </row>
    <row r="87" spans="1:14" ht="15" customHeight="1" x14ac:dyDescent="0.2">
      <c r="A87" s="17" t="s">
        <v>8</v>
      </c>
      <c r="B87" s="2"/>
      <c r="D87" s="2"/>
      <c r="E87" s="2"/>
      <c r="F87" s="85"/>
      <c r="H87" s="4">
        <f t="shared" si="2"/>
        <v>0</v>
      </c>
      <c r="I87" s="11">
        <f t="shared" si="3"/>
        <v>0</v>
      </c>
      <c r="J87" s="26" t="s">
        <v>10</v>
      </c>
      <c r="K87" s="4"/>
      <c r="L87" s="8"/>
      <c r="M87" s="13"/>
      <c r="N87" s="2"/>
    </row>
    <row r="88" spans="1:14" ht="15" customHeight="1" x14ac:dyDescent="0.2">
      <c r="A88" s="17" t="s">
        <v>8</v>
      </c>
      <c r="B88" s="2"/>
      <c r="D88" s="2"/>
      <c r="E88" s="2"/>
      <c r="F88" s="85"/>
      <c r="H88" s="4">
        <f t="shared" ref="H88:H121" si="4">SUM(F88:G88)</f>
        <v>0</v>
      </c>
      <c r="I88" s="11">
        <f t="shared" si="3"/>
        <v>0</v>
      </c>
      <c r="J88" s="26" t="s">
        <v>10</v>
      </c>
      <c r="K88" s="4"/>
      <c r="L88" s="8"/>
      <c r="M88" s="13"/>
      <c r="N88" s="2"/>
    </row>
    <row r="89" spans="1:14" ht="15" customHeight="1" x14ac:dyDescent="0.2">
      <c r="A89" s="17" t="s">
        <v>8</v>
      </c>
      <c r="B89" s="2"/>
      <c r="D89" s="2"/>
      <c r="E89" s="2"/>
      <c r="F89" s="85"/>
      <c r="H89" s="4">
        <f t="shared" si="4"/>
        <v>0</v>
      </c>
      <c r="I89" s="11">
        <f t="shared" si="3"/>
        <v>0</v>
      </c>
      <c r="J89" s="26" t="s">
        <v>10</v>
      </c>
      <c r="K89" s="4"/>
      <c r="L89" s="8"/>
      <c r="M89" s="13"/>
      <c r="N89" s="2"/>
    </row>
    <row r="90" spans="1:14" ht="15" customHeight="1" x14ac:dyDescent="0.2">
      <c r="A90" s="17" t="s">
        <v>8</v>
      </c>
      <c r="B90" s="2"/>
      <c r="D90" s="2"/>
      <c r="E90" s="2"/>
      <c r="F90" s="85"/>
      <c r="H90" s="4">
        <f t="shared" si="4"/>
        <v>0</v>
      </c>
      <c r="I90" s="11">
        <f t="shared" si="3"/>
        <v>0</v>
      </c>
      <c r="J90" s="26" t="s">
        <v>10</v>
      </c>
      <c r="K90" s="4"/>
      <c r="L90" s="8"/>
      <c r="M90" s="13"/>
      <c r="N90" s="2"/>
    </row>
    <row r="91" spans="1:14" ht="15" customHeight="1" x14ac:dyDescent="0.2">
      <c r="A91" s="17" t="s">
        <v>8</v>
      </c>
      <c r="B91" s="2"/>
      <c r="D91" s="2"/>
      <c r="E91" s="2"/>
      <c r="F91" s="85"/>
      <c r="H91" s="4">
        <f t="shared" si="4"/>
        <v>0</v>
      </c>
      <c r="I91" s="11">
        <f t="shared" si="3"/>
        <v>0</v>
      </c>
      <c r="J91" s="26" t="s">
        <v>10</v>
      </c>
      <c r="K91" s="4"/>
      <c r="L91" s="8"/>
      <c r="M91" s="13"/>
      <c r="N91" s="2"/>
    </row>
    <row r="92" spans="1:14" ht="15" customHeight="1" x14ac:dyDescent="0.2">
      <c r="A92" s="17" t="s">
        <v>8</v>
      </c>
      <c r="B92" s="2"/>
      <c r="D92" s="2"/>
      <c r="E92" s="2"/>
      <c r="F92" s="85"/>
      <c r="H92" s="4">
        <f t="shared" si="4"/>
        <v>0</v>
      </c>
      <c r="I92" s="11">
        <f t="shared" si="3"/>
        <v>0</v>
      </c>
      <c r="J92" s="26" t="s">
        <v>10</v>
      </c>
      <c r="K92" s="4"/>
      <c r="L92" s="8"/>
      <c r="M92" s="13"/>
      <c r="N92" s="2"/>
    </row>
    <row r="93" spans="1:14" ht="15" customHeight="1" x14ac:dyDescent="0.2">
      <c r="A93" s="17" t="s">
        <v>8</v>
      </c>
      <c r="B93" s="2"/>
      <c r="D93" s="2"/>
      <c r="E93" s="2"/>
      <c r="F93" s="85"/>
      <c r="H93" s="4">
        <f t="shared" si="4"/>
        <v>0</v>
      </c>
      <c r="I93" s="11">
        <f t="shared" si="3"/>
        <v>0</v>
      </c>
      <c r="J93" s="26" t="s">
        <v>10</v>
      </c>
      <c r="K93" s="4"/>
      <c r="L93" s="8"/>
      <c r="M93" s="13"/>
      <c r="N93" s="2"/>
    </row>
    <row r="94" spans="1:14" ht="15" customHeight="1" x14ac:dyDescent="0.2">
      <c r="A94" s="17" t="s">
        <v>8</v>
      </c>
      <c r="B94" s="2"/>
      <c r="D94" s="2"/>
      <c r="E94" s="2"/>
      <c r="F94" s="85"/>
      <c r="H94" s="4">
        <f t="shared" si="4"/>
        <v>0</v>
      </c>
      <c r="I94" s="11">
        <f t="shared" si="3"/>
        <v>0</v>
      </c>
      <c r="J94" s="26" t="s">
        <v>10</v>
      </c>
      <c r="K94" s="4"/>
      <c r="L94" s="8"/>
      <c r="M94" s="13"/>
      <c r="N94" s="2"/>
    </row>
    <row r="95" spans="1:14" ht="15" customHeight="1" x14ac:dyDescent="0.2">
      <c r="A95" s="17" t="s">
        <v>8</v>
      </c>
      <c r="B95" s="2"/>
      <c r="D95" s="2"/>
      <c r="E95" s="2"/>
      <c r="F95" s="85"/>
      <c r="H95" s="4">
        <f t="shared" si="4"/>
        <v>0</v>
      </c>
      <c r="I95" s="11">
        <f t="shared" si="3"/>
        <v>0</v>
      </c>
      <c r="J95" s="26" t="s">
        <v>10</v>
      </c>
      <c r="K95" s="4"/>
      <c r="L95" s="8"/>
      <c r="M95" s="13"/>
      <c r="N95" s="2"/>
    </row>
    <row r="96" spans="1:14" ht="15" customHeight="1" x14ac:dyDescent="0.2">
      <c r="A96" s="17" t="s">
        <v>8</v>
      </c>
      <c r="B96" s="2"/>
      <c r="D96" s="2"/>
      <c r="E96" s="2"/>
      <c r="F96" s="85"/>
      <c r="H96" s="4">
        <f t="shared" si="4"/>
        <v>0</v>
      </c>
      <c r="I96" s="11">
        <f t="shared" si="3"/>
        <v>0</v>
      </c>
      <c r="J96" s="26" t="s">
        <v>10</v>
      </c>
      <c r="K96" s="4"/>
      <c r="L96" s="8"/>
      <c r="M96" s="13"/>
      <c r="N96" s="2"/>
    </row>
    <row r="97" spans="1:14" ht="15" customHeight="1" x14ac:dyDescent="0.2">
      <c r="A97" s="17" t="s">
        <v>8</v>
      </c>
      <c r="B97" s="2"/>
      <c r="D97" s="2"/>
      <c r="E97" s="2"/>
      <c r="F97" s="85"/>
      <c r="H97" s="4">
        <f t="shared" si="4"/>
        <v>0</v>
      </c>
      <c r="I97" s="11">
        <f t="shared" si="3"/>
        <v>0</v>
      </c>
      <c r="J97" s="26" t="s">
        <v>10</v>
      </c>
      <c r="K97" s="4"/>
      <c r="L97" s="8"/>
      <c r="M97" s="13"/>
      <c r="N97" s="2"/>
    </row>
    <row r="98" spans="1:14" ht="15" customHeight="1" x14ac:dyDescent="0.2">
      <c r="A98" s="17" t="s">
        <v>8</v>
      </c>
      <c r="B98" s="2"/>
      <c r="D98" s="2"/>
      <c r="E98" s="2"/>
      <c r="F98" s="85"/>
      <c r="H98" s="4">
        <f t="shared" si="4"/>
        <v>0</v>
      </c>
      <c r="I98" s="11">
        <f t="shared" si="3"/>
        <v>0</v>
      </c>
      <c r="J98" s="26" t="s">
        <v>10</v>
      </c>
      <c r="K98" s="4"/>
      <c r="L98" s="8"/>
      <c r="M98" s="13"/>
      <c r="N98" s="2"/>
    </row>
    <row r="99" spans="1:14" ht="15" customHeight="1" x14ac:dyDescent="0.2">
      <c r="A99" s="17" t="s">
        <v>8</v>
      </c>
      <c r="B99" s="2"/>
      <c r="D99" s="2"/>
      <c r="E99" s="2"/>
      <c r="F99" s="85"/>
      <c r="H99" s="4">
        <f t="shared" si="4"/>
        <v>0</v>
      </c>
      <c r="I99" s="11">
        <f t="shared" si="3"/>
        <v>0</v>
      </c>
      <c r="J99" s="26" t="s">
        <v>10</v>
      </c>
      <c r="K99" s="4"/>
      <c r="L99" s="8"/>
      <c r="M99" s="13"/>
      <c r="N99" s="2"/>
    </row>
    <row r="100" spans="1:14" ht="15" customHeight="1" x14ac:dyDescent="0.2">
      <c r="A100" s="25" t="s">
        <v>8</v>
      </c>
      <c r="B100" s="2"/>
      <c r="D100" s="2"/>
      <c r="E100" s="2"/>
      <c r="F100" s="85"/>
      <c r="H100" s="4">
        <f t="shared" si="4"/>
        <v>0</v>
      </c>
      <c r="I100" s="11">
        <f t="shared" si="3"/>
        <v>0</v>
      </c>
      <c r="J100" s="26" t="s">
        <v>10</v>
      </c>
      <c r="K100" s="4"/>
      <c r="L100" s="8"/>
      <c r="M100" s="13"/>
      <c r="N100" s="2"/>
    </row>
    <row r="101" spans="1:14" ht="15" customHeight="1" x14ac:dyDescent="0.2">
      <c r="A101" s="25" t="s">
        <v>8</v>
      </c>
      <c r="B101" s="9"/>
      <c r="D101" s="2"/>
      <c r="E101" s="2"/>
      <c r="F101" s="85"/>
      <c r="H101" s="4">
        <f t="shared" si="4"/>
        <v>0</v>
      </c>
      <c r="I101" s="11">
        <f t="shared" si="3"/>
        <v>0</v>
      </c>
      <c r="J101" s="26" t="s">
        <v>10</v>
      </c>
      <c r="K101" s="4"/>
      <c r="L101" s="8"/>
      <c r="M101" s="13"/>
      <c r="N101" s="2"/>
    </row>
    <row r="102" spans="1:14" ht="15" customHeight="1" x14ac:dyDescent="0.2">
      <c r="A102" s="25" t="s">
        <v>8</v>
      </c>
      <c r="B102" s="9"/>
      <c r="D102" s="2"/>
      <c r="E102" s="2"/>
      <c r="F102" s="85"/>
      <c r="H102" s="4">
        <f t="shared" si="4"/>
        <v>0</v>
      </c>
      <c r="I102" s="11">
        <f t="shared" si="3"/>
        <v>0</v>
      </c>
      <c r="J102" s="26" t="s">
        <v>10</v>
      </c>
      <c r="K102" s="4"/>
      <c r="L102" s="8"/>
      <c r="M102" s="13"/>
      <c r="N102" s="2"/>
    </row>
    <row r="103" spans="1:14" ht="15" customHeight="1" x14ac:dyDescent="0.2">
      <c r="A103" s="25" t="s">
        <v>8</v>
      </c>
      <c r="B103" s="9"/>
      <c r="D103" s="2"/>
      <c r="E103" s="2"/>
      <c r="F103" s="85"/>
      <c r="H103" s="4">
        <f t="shared" si="4"/>
        <v>0</v>
      </c>
      <c r="I103" s="11">
        <f t="shared" si="3"/>
        <v>0</v>
      </c>
      <c r="J103" s="26" t="s">
        <v>10</v>
      </c>
      <c r="K103" s="4"/>
      <c r="L103" s="8"/>
      <c r="M103" s="13"/>
      <c r="N103" s="2"/>
    </row>
    <row r="104" spans="1:14" ht="15" customHeight="1" x14ac:dyDescent="0.2">
      <c r="A104" s="25" t="s">
        <v>8</v>
      </c>
      <c r="B104" s="9"/>
      <c r="D104" s="2"/>
      <c r="E104" s="2"/>
      <c r="F104" s="85"/>
      <c r="H104" s="4">
        <f t="shared" si="4"/>
        <v>0</v>
      </c>
      <c r="I104" s="11">
        <f t="shared" si="3"/>
        <v>0</v>
      </c>
      <c r="J104" s="26" t="s">
        <v>10</v>
      </c>
      <c r="K104" s="4"/>
      <c r="L104" s="8"/>
      <c r="M104" s="13"/>
      <c r="N104" s="2"/>
    </row>
    <row r="105" spans="1:14" ht="15" customHeight="1" x14ac:dyDescent="0.2">
      <c r="A105" s="25" t="s">
        <v>8</v>
      </c>
      <c r="B105" s="9"/>
      <c r="D105" s="2"/>
      <c r="E105" s="2"/>
      <c r="F105" s="85"/>
      <c r="H105" s="4">
        <f t="shared" si="4"/>
        <v>0</v>
      </c>
      <c r="I105" s="11">
        <f t="shared" si="3"/>
        <v>0</v>
      </c>
      <c r="J105" s="26" t="s">
        <v>10</v>
      </c>
      <c r="K105" s="4"/>
      <c r="L105" s="8"/>
      <c r="M105" s="13"/>
      <c r="N105" s="2"/>
    </row>
    <row r="106" spans="1:14" ht="15" customHeight="1" x14ac:dyDescent="0.2">
      <c r="A106" s="25" t="s">
        <v>8</v>
      </c>
      <c r="B106" s="9"/>
      <c r="D106" s="2"/>
      <c r="E106" s="2"/>
      <c r="F106" s="85"/>
      <c r="H106" s="4">
        <f t="shared" si="4"/>
        <v>0</v>
      </c>
      <c r="I106" s="11">
        <f t="shared" si="3"/>
        <v>0</v>
      </c>
      <c r="J106" s="26" t="s">
        <v>10</v>
      </c>
      <c r="K106" s="4"/>
      <c r="L106" s="8"/>
      <c r="M106" s="13"/>
      <c r="N106" s="2"/>
    </row>
    <row r="107" spans="1:14" ht="15" customHeight="1" x14ac:dyDescent="0.2">
      <c r="A107" s="25" t="s">
        <v>8</v>
      </c>
      <c r="B107" s="9"/>
      <c r="D107" s="2"/>
      <c r="E107" s="2"/>
      <c r="F107" s="85"/>
      <c r="H107" s="4">
        <f t="shared" si="4"/>
        <v>0</v>
      </c>
      <c r="I107" s="11">
        <f t="shared" si="3"/>
        <v>0</v>
      </c>
      <c r="J107" s="26" t="s">
        <v>10</v>
      </c>
      <c r="K107" s="4"/>
      <c r="L107" s="8"/>
      <c r="M107" s="13"/>
      <c r="N107" s="2"/>
    </row>
    <row r="108" spans="1:14" ht="15" customHeight="1" x14ac:dyDescent="0.2">
      <c r="A108" s="25" t="s">
        <v>8</v>
      </c>
      <c r="B108" s="9"/>
      <c r="D108" s="2"/>
      <c r="E108" s="2"/>
      <c r="F108" s="85"/>
      <c r="H108" s="4">
        <f t="shared" si="4"/>
        <v>0</v>
      </c>
      <c r="I108" s="11">
        <f t="shared" si="3"/>
        <v>0</v>
      </c>
      <c r="J108" s="26" t="s">
        <v>10</v>
      </c>
      <c r="K108" s="4"/>
      <c r="L108" s="8"/>
      <c r="M108" s="13"/>
      <c r="N108" s="2"/>
    </row>
    <row r="109" spans="1:14" ht="15" customHeight="1" x14ac:dyDescent="0.2">
      <c r="A109" s="25" t="s">
        <v>8</v>
      </c>
      <c r="B109" s="9"/>
      <c r="D109" s="2"/>
      <c r="E109" s="2"/>
      <c r="F109" s="85"/>
      <c r="H109" s="4">
        <f t="shared" si="4"/>
        <v>0</v>
      </c>
      <c r="I109" s="11">
        <f t="shared" si="3"/>
        <v>0</v>
      </c>
      <c r="J109" s="26" t="s">
        <v>10</v>
      </c>
      <c r="K109" s="4"/>
      <c r="L109" s="8"/>
      <c r="M109" s="13"/>
      <c r="N109" s="2"/>
    </row>
    <row r="110" spans="1:14" ht="15" customHeight="1" x14ac:dyDescent="0.2">
      <c r="A110" s="25" t="s">
        <v>8</v>
      </c>
      <c r="B110" s="9"/>
      <c r="D110" s="2"/>
      <c r="E110" s="2"/>
      <c r="F110" s="85"/>
      <c r="H110" s="4">
        <f t="shared" si="4"/>
        <v>0</v>
      </c>
      <c r="I110" s="11">
        <f t="shared" si="3"/>
        <v>0</v>
      </c>
      <c r="J110" s="26" t="s">
        <v>10</v>
      </c>
      <c r="K110" s="4"/>
      <c r="L110" s="8"/>
      <c r="M110" s="13"/>
      <c r="N110" s="2"/>
    </row>
    <row r="111" spans="1:14" ht="15" customHeight="1" x14ac:dyDescent="0.2">
      <c r="A111" s="25" t="s">
        <v>8</v>
      </c>
      <c r="B111" s="9"/>
      <c r="D111" s="2"/>
      <c r="E111" s="2"/>
      <c r="F111" s="85"/>
      <c r="H111" s="4">
        <f t="shared" si="4"/>
        <v>0</v>
      </c>
      <c r="I111" s="11">
        <f t="shared" si="3"/>
        <v>0</v>
      </c>
      <c r="J111" s="26" t="s">
        <v>10</v>
      </c>
      <c r="K111" s="4"/>
      <c r="L111" s="8"/>
      <c r="M111" s="13"/>
      <c r="N111" s="2"/>
    </row>
    <row r="112" spans="1:14" ht="15" customHeight="1" x14ac:dyDescent="0.2">
      <c r="A112" s="25" t="s">
        <v>8</v>
      </c>
      <c r="B112" s="9"/>
      <c r="D112" s="2"/>
      <c r="E112" s="2"/>
      <c r="F112" s="85"/>
      <c r="H112" s="4">
        <f t="shared" si="4"/>
        <v>0</v>
      </c>
      <c r="I112" s="11">
        <f t="shared" si="3"/>
        <v>0</v>
      </c>
      <c r="J112" s="26" t="s">
        <v>10</v>
      </c>
      <c r="K112" s="4"/>
      <c r="L112" s="8"/>
      <c r="M112" s="13"/>
      <c r="N112" s="2"/>
    </row>
    <row r="113" spans="1:14" ht="15" customHeight="1" x14ac:dyDescent="0.2">
      <c r="A113" s="25" t="s">
        <v>8</v>
      </c>
      <c r="B113" s="9"/>
      <c r="D113" s="2"/>
      <c r="E113" s="2"/>
      <c r="F113" s="85"/>
      <c r="H113" s="4">
        <f t="shared" si="4"/>
        <v>0</v>
      </c>
      <c r="I113" s="11">
        <f t="shared" si="3"/>
        <v>0</v>
      </c>
      <c r="J113" s="26" t="s">
        <v>10</v>
      </c>
      <c r="K113" s="4"/>
      <c r="L113" s="8"/>
      <c r="M113" s="13"/>
      <c r="N113" s="2"/>
    </row>
    <row r="114" spans="1:14" ht="15" customHeight="1" x14ac:dyDescent="0.2">
      <c r="A114" s="25" t="s">
        <v>8</v>
      </c>
      <c r="B114" s="9"/>
      <c r="D114" s="2"/>
      <c r="E114" s="2"/>
      <c r="F114" s="85"/>
      <c r="H114" s="4">
        <f t="shared" si="4"/>
        <v>0</v>
      </c>
      <c r="I114" s="11">
        <f t="shared" si="3"/>
        <v>0</v>
      </c>
      <c r="J114" s="26" t="s">
        <v>10</v>
      </c>
      <c r="K114" s="4"/>
      <c r="L114" s="8"/>
      <c r="M114" s="13"/>
      <c r="N114" s="2"/>
    </row>
    <row r="115" spans="1:14" ht="15" customHeight="1" x14ac:dyDescent="0.2">
      <c r="A115" s="25" t="s">
        <v>8</v>
      </c>
      <c r="B115" s="9"/>
      <c r="D115" s="2"/>
      <c r="E115" s="2"/>
      <c r="F115" s="85"/>
      <c r="H115" s="4">
        <f t="shared" si="4"/>
        <v>0</v>
      </c>
      <c r="I115" s="11">
        <f t="shared" si="3"/>
        <v>0</v>
      </c>
      <c r="J115" s="26" t="s">
        <v>10</v>
      </c>
      <c r="K115" s="4"/>
      <c r="L115" s="8"/>
      <c r="M115" s="13"/>
      <c r="N115" s="2"/>
    </row>
    <row r="116" spans="1:14" ht="15" customHeight="1" x14ac:dyDescent="0.2">
      <c r="A116" s="25" t="s">
        <v>8</v>
      </c>
      <c r="B116" s="9"/>
      <c r="D116" s="2"/>
      <c r="E116" s="2"/>
      <c r="F116" s="85"/>
      <c r="H116" s="4">
        <f t="shared" si="4"/>
        <v>0</v>
      </c>
      <c r="I116" s="11">
        <f t="shared" si="3"/>
        <v>0</v>
      </c>
      <c r="J116" s="26" t="s">
        <v>10</v>
      </c>
      <c r="K116" s="4"/>
      <c r="L116" s="8"/>
      <c r="M116" s="13"/>
      <c r="N116" s="2"/>
    </row>
    <row r="117" spans="1:14" ht="15" customHeight="1" x14ac:dyDescent="0.2">
      <c r="A117" s="25" t="s">
        <v>8</v>
      </c>
      <c r="B117" s="9"/>
      <c r="D117" s="2"/>
      <c r="E117" s="2"/>
      <c r="F117" s="85"/>
      <c r="H117" s="4">
        <f t="shared" si="4"/>
        <v>0</v>
      </c>
      <c r="I117" s="11">
        <f t="shared" si="3"/>
        <v>0</v>
      </c>
      <c r="J117" s="26" t="s">
        <v>10</v>
      </c>
      <c r="K117" s="4"/>
      <c r="L117" s="8"/>
      <c r="M117" s="13"/>
      <c r="N117" s="2"/>
    </row>
    <row r="118" spans="1:14" ht="15" customHeight="1" x14ac:dyDescent="0.2">
      <c r="A118" s="25" t="s">
        <v>8</v>
      </c>
      <c r="B118" s="9"/>
      <c r="D118" s="2"/>
      <c r="E118" s="2"/>
      <c r="F118" s="85"/>
      <c r="H118" s="4">
        <f t="shared" si="4"/>
        <v>0</v>
      </c>
      <c r="I118" s="11">
        <f t="shared" si="3"/>
        <v>0</v>
      </c>
      <c r="J118" s="26" t="s">
        <v>10</v>
      </c>
      <c r="K118" s="4"/>
      <c r="L118" s="8"/>
      <c r="M118" s="13"/>
      <c r="N118" s="2"/>
    </row>
    <row r="119" spans="1:14" ht="15" customHeight="1" x14ac:dyDescent="0.2">
      <c r="A119" s="25" t="s">
        <v>8</v>
      </c>
      <c r="B119" s="9"/>
      <c r="D119" s="2"/>
      <c r="E119" s="2"/>
      <c r="F119" s="85"/>
      <c r="H119" s="4">
        <f t="shared" si="4"/>
        <v>0</v>
      </c>
      <c r="I119" s="11">
        <f t="shared" si="3"/>
        <v>0</v>
      </c>
      <c r="J119" s="26" t="s">
        <v>10</v>
      </c>
      <c r="K119" s="4"/>
      <c r="L119" s="8"/>
      <c r="M119" s="13"/>
      <c r="N119" s="2"/>
    </row>
    <row r="120" spans="1:14" ht="15" customHeight="1" x14ac:dyDescent="0.2">
      <c r="A120" s="25" t="s">
        <v>8</v>
      </c>
      <c r="B120" s="9"/>
      <c r="D120" s="2"/>
      <c r="E120" s="2"/>
      <c r="F120" s="85"/>
      <c r="H120" s="4">
        <f t="shared" si="4"/>
        <v>0</v>
      </c>
      <c r="I120" s="11">
        <f t="shared" si="3"/>
        <v>0</v>
      </c>
      <c r="J120" s="26" t="s">
        <v>10</v>
      </c>
      <c r="K120" s="4"/>
      <c r="L120" s="8"/>
      <c r="M120" s="13"/>
      <c r="N120" s="2"/>
    </row>
    <row r="121" spans="1:14" ht="15" customHeight="1" x14ac:dyDescent="0.2">
      <c r="A121" s="25" t="s">
        <v>8</v>
      </c>
      <c r="B121" s="9"/>
      <c r="D121" s="2"/>
      <c r="E121" s="2"/>
      <c r="F121" s="85"/>
      <c r="H121" s="4">
        <f t="shared" si="4"/>
        <v>0</v>
      </c>
      <c r="I121" s="11">
        <f t="shared" si="3"/>
        <v>0</v>
      </c>
      <c r="J121" s="26" t="s">
        <v>10</v>
      </c>
      <c r="K121" s="4"/>
      <c r="L121" s="8"/>
      <c r="M121" s="13"/>
      <c r="N121" s="2"/>
    </row>
    <row r="122" spans="1:14" ht="15" customHeight="1" x14ac:dyDescent="0.2">
      <c r="C122" s="14"/>
      <c r="G122" s="31"/>
    </row>
    <row r="1037983" spans="1:23" s="4" customFormat="1" ht="15" customHeight="1" x14ac:dyDescent="0.2">
      <c r="A1037983" s="1"/>
      <c r="B1037983" s="1"/>
      <c r="C1037983" s="2"/>
      <c r="D1037983" s="1"/>
      <c r="E1037983" s="1"/>
      <c r="F1037983" s="3"/>
      <c r="H1037983" s="5"/>
      <c r="I1037983" s="1"/>
      <c r="J1037983" s="6"/>
      <c r="K1037983" s="5"/>
      <c r="L1037983" s="6"/>
      <c r="M1037983" s="1"/>
      <c r="N1037983" s="1"/>
      <c r="O1037983" s="1"/>
      <c r="P1037983" s="1"/>
      <c r="Q1037983" s="1"/>
      <c r="R1037983" s="1"/>
      <c r="S1037983" s="1"/>
      <c r="T1037983" s="1"/>
      <c r="U1037983" s="1"/>
      <c r="V1037983" s="1"/>
      <c r="W1037983" s="1"/>
    </row>
    <row r="1037987" spans="1:23" s="4" customFormat="1" ht="15" customHeight="1" x14ac:dyDescent="0.2">
      <c r="A1037987" s="1"/>
      <c r="B1037987" s="1" t="s">
        <v>23</v>
      </c>
      <c r="C1037987" s="2"/>
      <c r="D1037987" s="1"/>
      <c r="E1037987" s="1"/>
      <c r="F1037987" s="1"/>
      <c r="H1037987" s="5"/>
      <c r="I1037987" s="1"/>
      <c r="J1037987" s="6"/>
      <c r="K1037987" s="5"/>
      <c r="L1037987" s="6"/>
      <c r="M1037987" s="1"/>
      <c r="N1037987" s="1"/>
      <c r="O1037987" s="1"/>
      <c r="P1037987" s="1"/>
      <c r="Q1037987" s="1"/>
      <c r="R1037987" s="1"/>
      <c r="S1037987" s="1"/>
      <c r="T1037987" s="1"/>
      <c r="U1037987" s="1"/>
      <c r="V1037987" s="1"/>
      <c r="W1037987" s="1"/>
    </row>
  </sheetData>
  <conditionalFormatting sqref="D6">
    <cfRule type="duplicateValues" dxfId="3" priority="3"/>
  </conditionalFormatting>
  <conditionalFormatting sqref="D7">
    <cfRule type="duplicateValues" dxfId="2" priority="4"/>
  </conditionalFormatting>
  <conditionalFormatting sqref="D21">
    <cfRule type="duplicateValues" dxfId="1" priority="2"/>
  </conditionalFormatting>
  <conditionalFormatting sqref="D37">
    <cfRule type="duplicateValues" dxfId="0" priority="1"/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TEXICON CR, OR, PR &amp; 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- CRG Accounting Manager</dc:creator>
  <cp:lastModifiedBy>CHDA</cp:lastModifiedBy>
  <dcterms:created xsi:type="dcterms:W3CDTF">2026-04-15T06:18:04Z</dcterms:created>
  <dcterms:modified xsi:type="dcterms:W3CDTF">2026-04-15T06:25:22Z</dcterms:modified>
</cp:coreProperties>
</file>